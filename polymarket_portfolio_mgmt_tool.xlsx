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ositions" sheetId="2" state="visible" r:id="rId4"/>
    <sheet name="Sizing" sheetId="3" state="visible" r:id="rId5"/>
    <sheet name="Greeks" sheetId="4" state="visible" r:id="rId6"/>
    <sheet name="Correlations" sheetId="5" state="visible" r:id="rId7"/>
    <sheet name="Risk Limits" sheetId="6" state="visible" r:id="rId8"/>
    <sheet name="Stress Tests" sheetId="7" state="visible" r:id="rId9"/>
    <sheet name="Checklist" sheetId="8" state="visible" r:id="rId10"/>
    <sheet name="Rebalancing" sheetId="9" state="visible" r:id="rId11"/>
    <sheet name="Attribution" sheetId="10" state="visible" r:id="rId12"/>
    <sheet name="Instruction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<sst xmlns="http://schemas.openxmlformats.org/spreadsheetml/2006/main" count="420" uniqueCount="373">
  <si>
    <t xml:space="preserve">POLYMARKET PORTFOLIO DASHBOARD</t>
  </si>
  <si>
    <t xml:space="preserve">PORTFOLIO SUMMARY</t>
  </si>
  <si>
    <t xml:space="preserve">Metric</t>
  </si>
  <si>
    <t xml:space="preserve">Value</t>
  </si>
  <si>
    <t xml:space="preserve">Limit</t>
  </si>
  <si>
    <t xml:space="preserve">Status</t>
  </si>
  <si>
    <t xml:space="preserve">Total Bankroll</t>
  </si>
  <si>
    <t xml:space="preserve">Deployed Capital</t>
  </si>
  <si>
    <t xml:space="preserve">Cash Reserve</t>
  </si>
  <si>
    <t xml:space="preserve">Open Positions</t>
  </si>
  <si>
    <t xml:space="preserve">Max Single Position %</t>
  </si>
  <si>
    <t xml:space="preserve">Max Cluster Exposure %</t>
  </si>
  <si>
    <t xml:space="preserve">Current Drawdown %</t>
  </si>
  <si>
    <t xml:space="preserve">Win Rate (Last 20)</t>
  </si>
  <si>
    <t xml:space="preserve">Avg Edge Captured</t>
  </si>
  <si>
    <t xml:space="preserve">Portfolio Brier Score</t>
  </si>
  <si>
    <t xml:space="preserve">RISK ALERTS</t>
  </si>
  <si>
    <t xml:space="preserve">QUICK SIZING CALCULATOR</t>
  </si>
  <si>
    <t xml:space="preserve">Positions Approaching Resolution (&lt; 7 days)</t>
  </si>
  <si>
    <t xml:space="preserve">Your Probability:</t>
  </si>
  <si>
    <t xml:space="preserve">Market Probability:</t>
  </si>
  <si>
    <t xml:space="preserve">Positions with Edge Decay (current edge &lt; 50% of entry edge)</t>
  </si>
  <si>
    <t xml:space="preserve">Edge:</t>
  </si>
  <si>
    <t xml:space="preserve">Kelly Fraction:</t>
  </si>
  <si>
    <t xml:space="preserve">Highly Correlated New Positions Warning</t>
  </si>
  <si>
    <t xml:space="preserve">Suggested Size ($):</t>
  </si>
  <si>
    <t xml:space="preserve">Check Correlations tab before adding to:</t>
  </si>
  <si>
    <t xml:space="preserve">As % of Bankroll:</t>
  </si>
  <si>
    <t xml:space="preserve">Position Limit Check:</t>
  </si>
  <si>
    <t xml:space="preserve">CURRENT POSITIONS</t>
  </si>
  <si>
    <t xml:space="preserve">Market ID</t>
  </si>
  <si>
    <t xml:space="preserve">Market Name</t>
  </si>
  <si>
    <t xml:space="preserve">Direction</t>
  </si>
  <si>
    <t xml:space="preserve">Entry Date</t>
  </si>
  <si>
    <t xml:space="preserve">Entry Edge</t>
  </si>
  <si>
    <t xml:space="preserve">Current Edge</t>
  </si>
  <si>
    <t xml:space="preserve">Entry Price</t>
  </si>
  <si>
    <t xml:space="preserve">Current Price</t>
  </si>
  <si>
    <t xml:space="preserve">Resolution Date</t>
  </si>
  <si>
    <t xml:space="preserve">Shares</t>
  </si>
  <si>
    <t xml:space="preserve">Total:</t>
  </si>
  <si>
    <t xml:space="preserve">P&amp;L %</t>
  </si>
  <si>
    <t xml:space="preserve">Theta ($/day)</t>
  </si>
  <si>
    <t xml:space="preserve">Vega (sensitivity)</t>
  </si>
  <si>
    <t xml:space="preserve">Cluster</t>
  </si>
  <si>
    <t xml:space="preserve">Confidence</t>
  </si>
  <si>
    <t xml:space="preserve">Notes</t>
  </si>
  <si>
    <t xml:space="preserve">trump-2028</t>
  </si>
  <si>
    <t xml:space="preserve">Trump wins 2028 election</t>
  </si>
  <si>
    <t xml:space="preserve">YES</t>
  </si>
  <si>
    <t xml:space="preserve">US Politics</t>
  </si>
  <si>
    <t xml:space="preserve">High</t>
  </si>
  <si>
    <t xml:space="preserve">POSITION SIZING CALCULATOR</t>
  </si>
  <si>
    <t xml:space="preserve">PARAMETERS</t>
  </si>
  <si>
    <t xml:space="preserve">NEW POSITION CALCULATOR</t>
  </si>
  <si>
    <t xml:space="preserve">Bankroll</t>
  </si>
  <si>
    <t xml:space="preserve">Example Market</t>
  </si>
  <si>
    <t xml:space="preserve">Kelly Fraction</t>
  </si>
  <si>
    <t xml:space="preserve">Your Probability</t>
  </si>
  <si>
    <t xml:space="preserve">Max Position %</t>
  </si>
  <si>
    <t xml:space="preserve">Market Price</t>
  </si>
  <si>
    <t xml:space="preserve">Min Edge Threshold</t>
  </si>
  <si>
    <t xml:space="preserve">Confidence Level</t>
  </si>
  <si>
    <t xml:space="preserve">Confidence Multiplier - High</t>
  </si>
  <si>
    <t xml:space="preserve">Available Liquidity ($)</t>
  </si>
  <si>
    <t xml:space="preserve">Confidence Multiplier - Medium</t>
  </si>
  <si>
    <t xml:space="preserve">Days to Resolution</t>
  </si>
  <si>
    <t xml:space="preserve">Confidence Multiplier - Low</t>
  </si>
  <si>
    <t xml:space="preserve">Confidence Multiplier - Speculative</t>
  </si>
  <si>
    <t xml:space="preserve">CALCULATED OUTPUTS</t>
  </si>
  <si>
    <t xml:space="preserve">Edge</t>
  </si>
  <si>
    <t xml:space="preserve">Bet Direction</t>
  </si>
  <si>
    <t xml:space="preserve">Odds (b)</t>
  </si>
  <si>
    <t xml:space="preserve">Raw Kelly %</t>
  </si>
  <si>
    <t xml:space="preserve">Fractional Kelly %</t>
  </si>
  <si>
    <t xml:space="preserve">Confidence Adjusted %</t>
  </si>
  <si>
    <t xml:space="preserve">Position Limit Check</t>
  </si>
  <si>
    <t xml:space="preserve">Liquidity Adjusted</t>
  </si>
  <si>
    <t xml:space="preserve">Final Position Size ($)</t>
  </si>
  <si>
    <t xml:space="preserve">Final Position %</t>
  </si>
  <si>
    <t xml:space="preserve">Expected Value ($)</t>
  </si>
  <si>
    <t xml:space="preserve">Max Loss ($)</t>
  </si>
  <si>
    <t xml:space="preserve">Max Gain ($)</t>
  </si>
  <si>
    <t xml:space="preserve">RECOMMENDATION</t>
  </si>
  <si>
    <t xml:space="preserve">PORTFOLIO GREEKS &amp; SENSITIVITIES</t>
  </si>
  <si>
    <t xml:space="preserve">Greek Definitions for Prediction Markets:</t>
  </si>
  <si>
    <t xml:space="preserve">Theta: Daily time decay of edge value (edge erodes as resolution approaches)</t>
  </si>
  <si>
    <t xml:space="preserve">Vega: Sensitivity to probability volatility (news impact)</t>
  </si>
  <si>
    <t xml:space="preserve">Delta: Position directional exposure ($1 move per 1% prob change)</t>
  </si>
  <si>
    <t xml:space="preserve">Gamma: Rate of delta change as resolution approaches</t>
  </si>
  <si>
    <t xml:space="preserve">PORTFOLIO GREEKS SUMMARY</t>
  </si>
  <si>
    <t xml:space="preserve">Greek</t>
  </si>
  <si>
    <t xml:space="preserve">Portfolio Total</t>
  </si>
  <si>
    <t xml:space="preserve">Daily Impact ($)</t>
  </si>
  <si>
    <t xml:space="preserve">Weekly Impact ($)</t>
  </si>
  <si>
    <t xml:space="preserve">Theta (Time Decay)</t>
  </si>
  <si>
    <t xml:space="preserve">Vega (Vol Sensitivity)</t>
  </si>
  <si>
    <t xml:space="preserve">Delta (Directional)</t>
  </si>
  <si>
    <t xml:space="preserve">Net Exposure</t>
  </si>
  <si>
    <t xml:space="preserve">PER-POSITION GREEKS</t>
  </si>
  <si>
    <t xml:space="preserve">Market</t>
  </si>
  <si>
    <t xml:space="preserve">Days to Res</t>
  </si>
  <si>
    <t xml:space="preserve">Position $</t>
  </si>
  <si>
    <t xml:space="preserve">Theta</t>
  </si>
  <si>
    <t xml:space="preserve">Vega</t>
  </si>
  <si>
    <t xml:space="preserve">Delta</t>
  </si>
  <si>
    <t xml:space="preserve">Edge Decay Rate</t>
  </si>
  <si>
    <t xml:space="preserve">CORRELATION CLUSTERS &amp; EXPOSURE</t>
  </si>
  <si>
    <t xml:space="preserve">Cluster Name</t>
  </si>
  <si>
    <t xml:space="preserve">Description</t>
  </si>
  <si>
    <t xml:space="preserve"># Positions</t>
  </si>
  <si>
    <t xml:space="preserve">Total Exposure ($)</t>
  </si>
  <si>
    <t xml:space="preserve">Exposure %</t>
  </si>
  <si>
    <t xml:space="preserve">Limit %</t>
  </si>
  <si>
    <t xml:space="preserve">Utilization</t>
  </si>
  <si>
    <t xml:space="preserve">US elections, policy, politicians</t>
  </si>
  <si>
    <t xml:space="preserve">Crypto</t>
  </si>
  <si>
    <t xml:space="preserve">Bitcoin, Ethereum, crypto regulation</t>
  </si>
  <si>
    <t xml:space="preserve">Fed/Macro</t>
  </si>
  <si>
    <t xml:space="preserve">Interest rates, Fed decisions, inflation</t>
  </si>
  <si>
    <t xml:space="preserve">Tech</t>
  </si>
  <si>
    <t xml:space="preserve">Tech companies, AI, product launches</t>
  </si>
  <si>
    <t xml:space="preserve">Sports</t>
  </si>
  <si>
    <t xml:space="preserve">Sports outcomes, championships</t>
  </si>
  <si>
    <t xml:space="preserve">Entertainment</t>
  </si>
  <si>
    <t xml:space="preserve">Awards, media, celebrities</t>
  </si>
  <si>
    <t xml:space="preserve">International</t>
  </si>
  <si>
    <t xml:space="preserve">Non-US politics and events</t>
  </si>
  <si>
    <t xml:space="preserve">Legal/Court</t>
  </si>
  <si>
    <t xml:space="preserve">Court cases, legal outcomes</t>
  </si>
  <si>
    <t xml:space="preserve">Science</t>
  </si>
  <si>
    <t xml:space="preserve">Scientific discoveries, space</t>
  </si>
  <si>
    <t xml:space="preserve">Other</t>
  </si>
  <si>
    <t xml:space="preserve">Miscellaneous</t>
  </si>
  <si>
    <t xml:space="preserve">POSITION CORRELATION NOTES</t>
  </si>
  <si>
    <t xml:space="preserve">Use this section to note specific correlations between positions</t>
  </si>
  <si>
    <t xml:space="preserve">Position 1</t>
  </si>
  <si>
    <t xml:space="preserve">Position 2</t>
  </si>
  <si>
    <t xml:space="preserve">Correlation Type</t>
  </si>
  <si>
    <t xml:space="preserve">RISK LIMITS MONITORING</t>
  </si>
  <si>
    <t xml:space="preserve">POSITION LIMITS</t>
  </si>
  <si>
    <t xml:space="preserve">Limit Type</t>
  </si>
  <si>
    <t xml:space="preserve">Limit Value</t>
  </si>
  <si>
    <t xml:space="preserve">Current Value</t>
  </si>
  <si>
    <t xml:space="preserve">Action Required</t>
  </si>
  <si>
    <t xml:space="preserve">Max Total Deployed %</t>
  </si>
  <si>
    <t xml:space="preserve">Min Cash Reserve %</t>
  </si>
  <si>
    <t xml:space="preserve">Max Positions Count</t>
  </si>
  <si>
    <t xml:space="preserve">Max Correlated Positions</t>
  </si>
  <si>
    <t xml:space="preserve">Max Days-Weighted Exposure</t>
  </si>
  <si>
    <t xml:space="preserve">DRAWDOWN LIMITS</t>
  </si>
  <si>
    <t xml:space="preserve">Drawdown Level</t>
  </si>
  <si>
    <t xml:space="preserve">Threshold</t>
  </si>
  <si>
    <t xml:space="preserve">Action</t>
  </si>
  <si>
    <t xml:space="preserve">Current DD</t>
  </si>
  <si>
    <t xml:space="preserve">Triggered?</t>
  </si>
  <si>
    <t xml:space="preserve">Level 1 - Caution</t>
  </si>
  <si>
    <t xml:space="preserve">Reduce Kelly fraction to 0.20</t>
  </si>
  <si>
    <t xml:space="preserve">Level 2 - Warning</t>
  </si>
  <si>
    <t xml:space="preserve">Reduce Kelly fraction to 0.15, no new positions</t>
  </si>
  <si>
    <t xml:space="preserve">Level 3 - Critical</t>
  </si>
  <si>
    <t xml:space="preserve">Close 50% of positions, Kelly to 0.10</t>
  </si>
  <si>
    <t xml:space="preserve">Level 4 - Stop</t>
  </si>
  <si>
    <t xml:space="preserve">Close all positions, pause trading</t>
  </si>
  <si>
    <t xml:space="preserve">PER-TRADE LOSS MONITORING</t>
  </si>
  <si>
    <t xml:space="preserve">Positions with &gt; 50% loss (consider closing):</t>
  </si>
  <si>
    <t xml:space="preserve">Positions with edge gone (current edge &lt; 2%):</t>
  </si>
  <si>
    <t xml:space="preserve">STRESS TESTING &amp; SCENARIO ANALYSIS</t>
  </si>
  <si>
    <t xml:space="preserve">SCENARIO DEFINITIONS</t>
  </si>
  <si>
    <t xml:space="preserve">Scenario</t>
  </si>
  <si>
    <t xml:space="preserve">Probability</t>
  </si>
  <si>
    <t xml:space="preserve">Base Case</t>
  </si>
  <si>
    <t xml:space="preserve">No major shocks</t>
  </si>
  <si>
    <t xml:space="preserve">Political Shock</t>
  </si>
  <si>
    <t xml:space="preserve">Major political event, all political bets move against</t>
  </si>
  <si>
    <t xml:space="preserve">Crypto Crash</t>
  </si>
  <si>
    <t xml:space="preserve">Crypto winter, regulatory crackdown</t>
  </si>
  <si>
    <t xml:space="preserve">Fed Surprise</t>
  </si>
  <si>
    <t xml:space="preserve">Unexpected Fed action</t>
  </si>
  <si>
    <t xml:space="preserve">Black Swan</t>
  </si>
  <si>
    <t xml:space="preserve">Major unexpected event</t>
  </si>
  <si>
    <t xml:space="preserve">All Wrong</t>
  </si>
  <si>
    <t xml:space="preserve">Every position moves against you</t>
  </si>
  <si>
    <t xml:space="preserve">Recovery Rally</t>
  </si>
  <si>
    <t xml:space="preserve">Positive sentiment across markets</t>
  </si>
  <si>
    <t xml:space="preserve">SCENARIO P&amp;L IMPACT</t>
  </si>
  <si>
    <t xml:space="preserve">Portfolio P&amp;L ($)</t>
  </si>
  <si>
    <t xml:space="preserve">Worst Position</t>
  </si>
  <si>
    <t xml:space="preserve">Survives?</t>
  </si>
  <si>
    <t xml:space="preserve">EXPECTED LOSS (probability-weighted)</t>
  </si>
  <si>
    <t xml:space="preserve">Value at Risk (95%)</t>
  </si>
  <si>
    <t xml:space="preserve">REVERSE STRESS TEST</t>
  </si>
  <si>
    <t xml:space="preserve">What shock causes 20% drawdown?</t>
  </si>
  <si>
    <t xml:space="preserve">Required uniform shock:</t>
  </si>
  <si>
    <t xml:space="preserve">TRADE DECISION CHECKLIST</t>
  </si>
  <si>
    <t xml:space="preserve">Complete before entering ANY new position</t>
  </si>
  <si>
    <t xml:space="preserve">PRE-TRADE CHECKLIST</t>
  </si>
  <si>
    <t xml:space="preserve">Check</t>
  </si>
  <si>
    <t xml:space="preserve">Question</t>
  </si>
  <si>
    <t xml:space="preserve">Answer</t>
  </si>
  <si>
    <t xml:space="preserve">Pass?</t>
  </si>
  <si>
    <t xml:space="preserve">Edge Verification</t>
  </si>
  <si>
    <t xml:space="preserve">Is my edge &gt; 5%?</t>
  </si>
  <si>
    <t xml:space="preserve">Edge Source</t>
  </si>
  <si>
    <t xml:space="preserve">What is my information advantage?</t>
  </si>
  <si>
    <t xml:space="preserve">Base Rate</t>
  </si>
  <si>
    <t xml:space="preserve">Have I considered base rates?</t>
  </si>
  <si>
    <t xml:space="preserve">Overconfidence</t>
  </si>
  <si>
    <t xml:space="preserve">Am I adjusting for overconfidence?</t>
  </si>
  <si>
    <t xml:space="preserve">Resolution Risk</t>
  </si>
  <si>
    <t xml:space="preserve">Are resolution criteria clear?</t>
  </si>
  <si>
    <t xml:space="preserve">Liquidity</t>
  </si>
  <si>
    <t xml:space="preserve">Can I exit if needed? (spread &lt; 3%)</t>
  </si>
  <si>
    <t xml:space="preserve">Correlation</t>
  </si>
  <si>
    <t xml:space="preserve">Does this add to existing cluster exposure?</t>
  </si>
  <si>
    <t xml:space="preserve">Position Size</t>
  </si>
  <si>
    <t xml:space="preserve">Is suggested size within limits?</t>
  </si>
  <si>
    <t xml:space="preserve">Drawdown State</t>
  </si>
  <si>
    <t xml:space="preserve">Am I in a drawdown? Reduced sizing?</t>
  </si>
  <si>
    <t xml:space="preserve">News Catalyst</t>
  </si>
  <si>
    <t xml:space="preserve">Any imminent news that could move this?</t>
  </si>
  <si>
    <t xml:space="preserve">Time Horizon</t>
  </si>
  <si>
    <t xml:space="preserve">Does resolution timeline fit my strategy?</t>
  </si>
  <si>
    <t xml:space="preserve">Opportunity Cost</t>
  </si>
  <si>
    <t xml:space="preserve">Is capital better deployed elsewhere?</t>
  </si>
  <si>
    <t xml:space="preserve">CHECKLIST SUMMARY</t>
  </si>
  <si>
    <t xml:space="preserve">Checks Passed:</t>
  </si>
  <si>
    <t xml:space="preserve">Checks Failed:</t>
  </si>
  <si>
    <t xml:space="preserve">GO/NO-GO:</t>
  </si>
  <si>
    <t xml:space="preserve">EXIT DECISION CHECKLIST</t>
  </si>
  <si>
    <t xml:space="preserve">Edge Gone</t>
  </si>
  <si>
    <t xml:space="preserve">Has my edge closed (current &lt; 2%)?</t>
  </si>
  <si>
    <t xml:space="preserve">Target Hit</t>
  </si>
  <si>
    <t xml:space="preserve">Has price reached my target?</t>
  </si>
  <si>
    <t xml:space="preserve">Stop Loss</t>
  </si>
  <si>
    <t xml:space="preserve">Has position lost &gt; 50%?</t>
  </si>
  <si>
    <t xml:space="preserve">New Info</t>
  </si>
  <si>
    <t xml:space="preserve">Has new information changed my thesis?</t>
  </si>
  <si>
    <t xml:space="preserve">Better Opportunity</t>
  </si>
  <si>
    <t xml:space="preserve">Is capital needed for better opportunity?</t>
  </si>
  <si>
    <t xml:space="preserve">Resolution Near</t>
  </si>
  <si>
    <t xml:space="preserve">Is resolution &lt; 7 days and no edge?</t>
  </si>
  <si>
    <t xml:space="preserve">REBALANCING TRIGGERS</t>
  </si>
  <si>
    <t xml:space="preserve">AUTOMATIC TRIGGERS</t>
  </si>
  <si>
    <t xml:space="preserve">Trigger</t>
  </si>
  <si>
    <t xml:space="preserve">Condition</t>
  </si>
  <si>
    <t xml:space="preserve">Current</t>
  </si>
  <si>
    <t xml:space="preserve">Position Drift</t>
  </si>
  <si>
    <t xml:space="preserve">Any position &gt; 15% of portfolio</t>
  </si>
  <si>
    <t xml:space="preserve">Trim to 10%</t>
  </si>
  <si>
    <t xml:space="preserve">Cluster Concentration</t>
  </si>
  <si>
    <t xml:space="preserve">Any cluster &gt; 30% of portfolio</t>
  </si>
  <si>
    <t xml:space="preserve">Reduce cluster exposure</t>
  </si>
  <si>
    <t xml:space="preserve">Edge Decay</t>
  </si>
  <si>
    <t xml:space="preserve">Position edge &lt; 50% of entry</t>
  </si>
  <si>
    <t xml:space="preserve">Review &amp; consider exit</t>
  </si>
  <si>
    <t xml:space="preserve">Resolution Approaching</t>
  </si>
  <si>
    <t xml:space="preserve">Position &lt; 7 days to resolution</t>
  </si>
  <si>
    <t xml:space="preserve">Exit or roll</t>
  </si>
  <si>
    <t xml:space="preserve">Drawdown Breach</t>
  </si>
  <si>
    <t xml:space="preserve">Portfolio drawdown &gt; 10%</t>
  </si>
  <si>
    <t xml:space="preserve">Reduce all positions</t>
  </si>
  <si>
    <t xml:space="preserve">Cash Depleted</t>
  </si>
  <si>
    <t xml:space="preserve">Cash reserve &lt; 5%</t>
  </si>
  <si>
    <t xml:space="preserve">Close weakest positions</t>
  </si>
  <si>
    <t xml:space="preserve">Correlation Spike</t>
  </si>
  <si>
    <t xml:space="preserve">New correlated position added</t>
  </si>
  <si>
    <t xml:space="preserve">Manual</t>
  </si>
  <si>
    <t xml:space="preserve">Reduce overlapping exposure</t>
  </si>
  <si>
    <t xml:space="preserve">SCHEDULED REVIEWS</t>
  </si>
  <si>
    <t xml:space="preserve">Review Type</t>
  </si>
  <si>
    <t xml:space="preserve">Frequency</t>
  </si>
  <si>
    <t xml:space="preserve">Last Review</t>
  </si>
  <si>
    <t xml:space="preserve">Next Review</t>
  </si>
  <si>
    <t xml:space="preserve">Due?</t>
  </si>
  <si>
    <t xml:space="preserve">Position Review</t>
  </si>
  <si>
    <t xml:space="preserve">Daily</t>
  </si>
  <si>
    <t xml:space="preserve">Cluster Balance</t>
  </si>
  <si>
    <t xml:space="preserve">Weekly</t>
  </si>
  <si>
    <t xml:space="preserve">Full Portfolio Review</t>
  </si>
  <si>
    <t xml:space="preserve">Monthly</t>
  </si>
  <si>
    <t xml:space="preserve">Strategy Review</t>
  </si>
  <si>
    <t xml:space="preserve">Quarterly</t>
  </si>
  <si>
    <t xml:space="preserve">REBALANCING LOG</t>
  </si>
  <si>
    <t xml:space="preserve">Date</t>
  </si>
  <si>
    <t xml:space="preserve">Position</t>
  </si>
  <si>
    <t xml:space="preserve">Action Taken</t>
  </si>
  <si>
    <t xml:space="preserve">Old Size</t>
  </si>
  <si>
    <t xml:space="preserve">New Size</t>
  </si>
  <si>
    <t xml:space="preserve">PERFORMANCE ATTRIBUTION</t>
  </si>
  <si>
    <t xml:space="preserve">PORTFOLIO PERFORMANCE SUMMARY</t>
  </si>
  <si>
    <t xml:space="preserve">ATTRIBUTION BY CLUSTER</t>
  </si>
  <si>
    <t xml:space="preserve">Trades</t>
  </si>
  <si>
    <t xml:space="preserve">P&amp;L</t>
  </si>
  <si>
    <t xml:space="preserve">Win Rate</t>
  </si>
  <si>
    <t xml:space="preserve">Avg Brier</t>
  </si>
  <si>
    <t xml:space="preserve">Total Trades</t>
  </si>
  <si>
    <t xml:space="preserve">Starting Bankroll</t>
  </si>
  <si>
    <t xml:space="preserve">Current Bankroll</t>
  </si>
  <si>
    <t xml:space="preserve">Total P&amp;L</t>
  </si>
  <si>
    <t xml:space="preserve">Total Return %</t>
  </si>
  <si>
    <t xml:space="preserve">TRADE LOG</t>
  </si>
  <si>
    <t xml:space="preserve">Trade ID</t>
  </si>
  <si>
    <t xml:space="preserve">Exit Date</t>
  </si>
  <si>
    <t xml:space="preserve">Outcome</t>
  </si>
  <si>
    <t xml:space="preserve">P&amp;L ($)</t>
  </si>
  <si>
    <t xml:space="preserve">Edge Captured</t>
  </si>
  <si>
    <t xml:space="preserve">Brier Score</t>
  </si>
  <si>
    <t xml:space="preserve">Your Prob</t>
  </si>
  <si>
    <t xml:space="preserve">Actual</t>
  </si>
  <si>
    <t xml:space="preserve">Sample Market</t>
  </si>
  <si>
    <t xml:space="preserve">Win</t>
  </si>
  <si>
    <t xml:space="preserve">POLYMARKET PORTFOLIO MANAGEMENT - INSTRUCTIONS</t>
  </si>
  <si>
    <t xml:space="preserve">HOW TO USE THIS WORKBOOK</t>
  </si>
  <si>
    <t xml:space="preserve">1. DASHBOARD (Start Here)</t>
  </si>
  <si>
    <t xml:space="preserve">   - Set your total bankroll in cell B5 (blue = input)</t>
  </si>
  <si>
    <t xml:space="preserve">   - Monitor all key metrics and alerts</t>
  </si>
  <si>
    <t xml:space="preserve">   - Use the Quick Sizing Calculator for new positions</t>
  </si>
  <si>
    <t xml:space="preserve">2. POSITIONS</t>
  </si>
  <si>
    <t xml:space="preserve">   - Enter all active positions here</t>
  </si>
  <si>
    <t xml:space="preserve">   - Blue cells are inputs, black cells are calculated</t>
  </si>
  <si>
    <t xml:space="preserve">   - Update current prices regularly</t>
  </si>
  <si>
    <t xml:space="preserve">   - Formulas auto-calculate P&amp;L, Greeks, etc.</t>
  </si>
  <si>
    <t xml:space="preserve">3. SIZING</t>
  </si>
  <si>
    <t xml:space="preserve">   - Use this before entering any new position</t>
  </si>
  <si>
    <t xml:space="preserve">   - Enter your probability estimate and market price</t>
  </si>
  <si>
    <t xml:space="preserve">   - Adjust confidence level (High/Medium/Low/Speculative)</t>
  </si>
  <si>
    <t xml:space="preserve">   - Follow the recommendation</t>
  </si>
  <si>
    <t xml:space="preserve">4. GREEKS</t>
  </si>
  <si>
    <t xml:space="preserve">   - Monitor portfolio-level risk sensitivities</t>
  </si>
  <si>
    <t xml:space="preserve">   - Theta = time decay (how much you lose per day waiting)</t>
  </si>
  <si>
    <t xml:space="preserve">   - Vega = news sensitivity (how much big news moves you)</t>
  </si>
  <si>
    <t xml:space="preserve">   - Delta = net directional exposure</t>
  </si>
  <si>
    <t xml:space="preserve">5. CORRELATIONS</t>
  </si>
  <si>
    <t xml:space="preserve">   - Define clusters and their exposure limits</t>
  </si>
  <si>
    <t xml:space="preserve">   - Track concentration risk</t>
  </si>
  <si>
    <t xml:space="preserve">   - Note specific position correlations</t>
  </si>
  <si>
    <t xml:space="preserve">   - Get warned before over-concentrating</t>
  </si>
  <si>
    <t xml:space="preserve">6. RISK LIMITS</t>
  </si>
  <si>
    <t xml:space="preserve">   - Set your risk thresholds</t>
  </si>
  <si>
    <t xml:space="preserve">   - Monitor utilization</t>
  </si>
  <si>
    <t xml:space="preserve">   - Drawdown-triggered rules for position sizing</t>
  </si>
  <si>
    <t xml:space="preserve">   - Automatic alerts when limits breached</t>
  </si>
  <si>
    <t xml:space="preserve">7. STRESS TESTS</t>
  </si>
  <si>
    <t xml:space="preserve">   - Define scenarios with cluster shocks</t>
  </si>
  <si>
    <t xml:space="preserve">   - See portfolio impact under each scenario</t>
  </si>
  <si>
    <t xml:space="preserve">   - Reverse stress test: what shock kills you?</t>
  </si>
  <si>
    <t xml:space="preserve">   - Use to right-size positions</t>
  </si>
  <si>
    <t xml:space="preserve">8. CHECKLIST</t>
  </si>
  <si>
    <t xml:space="preserve">   - Complete BEFORE every new trade</t>
  </si>
  <si>
    <t xml:space="preserve">   - If any check fails, don't trade</t>
  </si>
  <si>
    <t xml:space="preserve">   - Exit checklist for closing positions</t>
  </si>
  <si>
    <t xml:space="preserve">   - Prevents emotional/impulsive trading</t>
  </si>
  <si>
    <t xml:space="preserve">9. REBALANCING</t>
  </si>
  <si>
    <t xml:space="preserve">   - Automatic trigger monitoring</t>
  </si>
  <si>
    <t xml:space="preserve">   - Scheduled review reminders</t>
  </si>
  <si>
    <t xml:space="preserve">   - Log your rebalancing actions</t>
  </si>
  <si>
    <t xml:space="preserve">10. ATTRIBUTION</t>
  </si>
  <si>
    <t xml:space="preserve">    - Log all closed trades</t>
  </si>
  <si>
    <t xml:space="preserve">    - Track win rate, edge captured, Brier score</t>
  </si>
  <si>
    <t xml:space="preserve">    - Attribution by cluster</t>
  </si>
  <si>
    <t xml:space="preserve">    - Identify where you're good (and bad)</t>
  </si>
  <si>
    <t xml:space="preserve">COLOR CODING:</t>
  </si>
  <si>
    <t xml:space="preserve">- Blue text = Input (you enter this)</t>
  </si>
  <si>
    <t xml:space="preserve">- Black text = Formula (calculated)</t>
  </si>
  <si>
    <t xml:space="preserve">- Green text = Links to other sheets</t>
  </si>
  <si>
    <t xml:space="preserve">- Yellow background = Needs attention</t>
  </si>
  <si>
    <t xml:space="preserve">- Red background = Alert/breach</t>
  </si>
  <si>
    <t xml:space="preserve">WORKFLOW:</t>
  </si>
  <si>
    <t xml:space="preserve">1. Daily: Update current prices in Positions, check Dashboard</t>
  </si>
  <si>
    <t xml:space="preserve">2. Before new trade: Use Sizing + Checklist</t>
  </si>
  <si>
    <t xml:space="preserve">3. Weekly: Review Correlations, Rebalancing triggers</t>
  </si>
  <si>
    <t xml:space="preserve">4. Monthly: Full Attribution review, strategy adjustment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</si>
</sst>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yyyy\-mm\-dd\ h:mm:ss"/>
    <numFmt numFmtId="167" formatCode="mm/dd/yy\ hh:mm\ AM/PM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4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DCE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  <col collapsed="false" customWidth="true" hidden="false" outlineLevel="0" max="7" min="6" style="0" width="2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10000</v>
      </c>
      <c r="C5" s="4"/>
      <c r="D5" s="4"/>
    </row>
    <row r="6" customFormat="false" ht="15" hidden="false" customHeight="false" outlineLevel="0" collapsed="false">
      <c r="A6" s="4" t="s">
        <v>7</v>
      </c>
      <c r="B6" s="6" t="n">
        <f aca="false">Positions!L2</f>
        <v>210</v>
      </c>
      <c r="C6" s="4" t="n">
        <f aca="false">B5*0.9</f>
        <v>9000</v>
      </c>
      <c r="D6" s="4" t="str">
        <f aca="false">IF(B6&gt;C6,"⚠ BREACH","✓ OK")</f>
        <v>✓ OK</v>
      </c>
    </row>
    <row r="7" customFormat="false" ht="15" hidden="false" customHeight="false" outlineLevel="0" collapsed="false">
      <c r="A7" s="4" t="s">
        <v>8</v>
      </c>
      <c r="B7" s="6" t="n">
        <f aca="false">B5-B6</f>
        <v>9790</v>
      </c>
      <c r="C7" s="4" t="n">
        <f aca="false">B5*0.1</f>
        <v>1000</v>
      </c>
      <c r="D7" s="4" t="str">
        <f aca="false">IF(B7&lt;C7,"⚠ LOW","✓ OK")</f>
        <v>✓ OK</v>
      </c>
    </row>
    <row r="8" customFormat="false" ht="15" hidden="false" customHeight="false" outlineLevel="0" collapsed="false">
      <c r="A8" s="4" t="s">
        <v>9</v>
      </c>
      <c r="B8" s="6" t="n">
        <f aca="false">COUNTA(Positions!A3:A102)-COUNTBLANK(Positions!A3:A102)</f>
        <v>-98</v>
      </c>
      <c r="C8" s="4" t="n">
        <v>20</v>
      </c>
      <c r="D8" s="4" t="str">
        <f aca="false">IF(B8&gt;C8,"⚠ BREACH","✓ OK")</f>
        <v>✓ OK</v>
      </c>
    </row>
    <row r="9" customFormat="false" ht="15" hidden="false" customHeight="false" outlineLevel="0" collapsed="false">
      <c r="A9" s="4" t="s">
        <v>10</v>
      </c>
      <c r="B9" s="6" t="n">
        <f aca="false">MAX(Positions!K3:K102)</f>
        <v>210</v>
      </c>
      <c r="C9" s="4" t="n">
        <v>0.1</v>
      </c>
      <c r="D9" s="4" t="str">
        <f aca="false">IF(B9&gt;C9,"⚠ BREACH","✓ OK")</f>
        <v>⚠ BREACH</v>
      </c>
    </row>
    <row r="10" customFormat="false" ht="15" hidden="false" customHeight="false" outlineLevel="0" collapsed="false">
      <c r="A10" s="4" t="s">
        <v>11</v>
      </c>
      <c r="B10" s="6" t="n">
        <f aca="false">MAX(Correlations!H3:H12)</f>
        <v>0.084</v>
      </c>
      <c r="C10" s="4" t="n">
        <v>0.25</v>
      </c>
      <c r="D10" s="4" t="str">
        <f aca="false">IF(B10&gt;C10,"⚠ BREACH","✓ OK")</f>
        <v>✓ OK</v>
      </c>
    </row>
    <row r="11" customFormat="false" ht="15" hidden="false" customHeight="false" outlineLevel="0" collapsed="false">
      <c r="A11" s="4" t="s">
        <v>12</v>
      </c>
      <c r="B11" s="6" t="n">
        <f aca="false">-MIN(0,(B5-Attribution!G2)/Attribution!G2)</f>
        <v>0.00497512437810945</v>
      </c>
      <c r="C11" s="4" t="n">
        <v>0.15</v>
      </c>
      <c r="D11" s="4" t="str">
        <f aca="false">IF(B11&gt;C11,"⚠ BREACH","✓ OK")</f>
        <v>✓ OK</v>
      </c>
    </row>
    <row r="12" customFormat="false" ht="15" hidden="false" customHeight="false" outlineLevel="0" collapsed="false">
      <c r="A12" s="4" t="s">
        <v>13</v>
      </c>
      <c r="B12" s="6" t="n">
        <f aca="false">Attribution!J2</f>
        <v>1</v>
      </c>
      <c r="C12" s="4"/>
      <c r="D12" s="4"/>
    </row>
    <row r="13" customFormat="false" ht="15" hidden="false" customHeight="false" outlineLevel="0" collapsed="false">
      <c r="A13" s="4" t="s">
        <v>14</v>
      </c>
      <c r="B13" s="6" t="n">
        <f aca="false">Attribution!K2</f>
        <v>0.15</v>
      </c>
      <c r="C13" s="4"/>
      <c r="D13" s="4"/>
    </row>
    <row r="14" customFormat="false" ht="15" hidden="false" customHeight="false" outlineLevel="0" collapsed="false">
      <c r="A14" s="4" t="s">
        <v>15</v>
      </c>
      <c r="B14" s="6" t="n">
        <f aca="false">Attribution!L2</f>
        <v>0.16</v>
      </c>
      <c r="C14" s="4"/>
      <c r="D14" s="4"/>
    </row>
    <row r="17" customFormat="false" ht="15" hidden="false" customHeight="false" outlineLevel="0" collapsed="false">
      <c r="A17" s="2" t="s">
        <v>16</v>
      </c>
      <c r="F17" s="2" t="s">
        <v>17</v>
      </c>
    </row>
    <row r="18" customFormat="false" ht="15" hidden="false" customHeight="false" outlineLevel="0" collapsed="false">
      <c r="A18" s="0" t="s">
        <v>18</v>
      </c>
      <c r="F18" s="0" t="s">
        <v>19</v>
      </c>
      <c r="G18" s="7" t="n">
        <v>0.65</v>
      </c>
    </row>
    <row r="19" customFormat="false" ht="15" hidden="false" customHeight="false" outlineLevel="0" collapsed="false">
      <c r="A19" s="0" t="n">
        <f aca="true">COUNTIF(Positions!H3:H102,"&lt;"&amp;TODAY()+7)</f>
        <v>1</v>
      </c>
      <c r="F19" s="0" t="s">
        <v>20</v>
      </c>
      <c r="G19" s="7" t="n">
        <v>0.55</v>
      </c>
    </row>
    <row r="20" customFormat="false" ht="15" hidden="false" customHeight="false" outlineLevel="0" collapsed="false">
      <c r="A20" s="0" t="s">
        <v>21</v>
      </c>
      <c r="F20" s="0" t="s">
        <v>22</v>
      </c>
      <c r="G20" s="0" t="n">
        <f aca="false">G18-G19</f>
        <v>0.1</v>
      </c>
    </row>
    <row r="21" customFormat="false" ht="15" hidden="false" customHeight="false" outlineLevel="0" collapsed="false">
      <c r="A21" s="0" t="n">
        <f aca="false">SUMPRODUCT((Positions!F3:F102&lt;Positions!E3:E102*0.5)*1)</f>
        <v>1</v>
      </c>
      <c r="F21" s="0" t="s">
        <v>23</v>
      </c>
      <c r="G21" s="7" t="n">
        <v>0.25</v>
      </c>
    </row>
    <row r="22" customFormat="false" ht="15" hidden="false" customHeight="false" outlineLevel="0" collapsed="false">
      <c r="A22" s="0" t="s">
        <v>24</v>
      </c>
      <c r="F22" s="0" t="s">
        <v>25</v>
      </c>
      <c r="G22" s="0" t="n">
        <f aca="false">IF(ABS(G20)&lt;0.05,0,MAX(0,B5*G21*((G18*(1-G19)/G19)-(1-G18))/((1-G19)/G19)))</f>
        <v>555.555555555556</v>
      </c>
    </row>
    <row r="23" customFormat="false" ht="15" hidden="false" customHeight="false" outlineLevel="0" collapsed="false">
      <c r="A23" s="0" t="s">
        <v>26</v>
      </c>
      <c r="F23" s="0" t="s">
        <v>27</v>
      </c>
      <c r="G23" s="0" t="n">
        <f aca="false">IF(B5&gt;0,G22/B5,0)</f>
        <v>0.0555555555555556</v>
      </c>
    </row>
    <row r="24" customFormat="false" ht="15" hidden="false" customHeight="false" outlineLevel="0" collapsed="false">
      <c r="A24" s="0" t="str">
        <f aca="false">IF(Correlations!H3&gt;0.2,Correlations!A3,"")</f>
        <v>Cluster Name</v>
      </c>
      <c r="F24" s="0" t="s">
        <v>28</v>
      </c>
      <c r="G24" s="0" t="str">
        <f aca="false">IF(G23&gt;0.1,"⚠ EXCEEDS 10% LIMIT",IF(G22&gt;0,"✓ OK","NO BET"))</f>
        <v>✓ OK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19" min="3" style="0" width="14"/>
  </cols>
  <sheetData>
    <row r="1" customFormat="false" ht="17.35" hidden="false" customHeight="false" outlineLevel="0" collapsed="false">
      <c r="A1" s="8" t="s">
        <v>29</v>
      </c>
    </row>
    <row r="2" customFormat="false" ht="28.35" hidden="false" customHeight="false" outlineLevel="0" collapsed="false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39</v>
      </c>
      <c r="K2" s="3" t="s">
        <v>40</v>
      </c>
      <c r="L2" s="3" t="n">
        <f aca="false">SUM(K3:K102)</f>
        <v>210</v>
      </c>
      <c r="M2" s="3" t="n">
        <f aca="false">SUM(M3:M102)</f>
        <v>15</v>
      </c>
      <c r="N2" s="3" t="s">
        <v>41</v>
      </c>
      <c r="O2" s="3" t="s">
        <v>42</v>
      </c>
      <c r="P2" s="3" t="s">
        <v>43</v>
      </c>
      <c r="Q2" s="3" t="s">
        <v>44</v>
      </c>
      <c r="R2" s="3" t="s">
        <v>45</v>
      </c>
      <c r="S2" s="3" t="s">
        <v>46</v>
      </c>
    </row>
    <row r="3" customFormat="false" ht="15" hidden="false" customHeight="false" outlineLevel="0" collapsed="false">
      <c r="A3" s="7" t="s">
        <v>47</v>
      </c>
      <c r="B3" s="7" t="s">
        <v>48</v>
      </c>
      <c r="C3" s="7" t="s">
        <v>49</v>
      </c>
      <c r="D3" s="9" t="n">
        <v>45672</v>
      </c>
      <c r="E3" s="7" t="n">
        <v>0.08</v>
      </c>
      <c r="F3" s="10" t="n">
        <f aca="false">G3-H3</f>
        <v>-0.03</v>
      </c>
      <c r="G3" s="7" t="n">
        <v>0.42</v>
      </c>
      <c r="H3" s="7" t="n">
        <v>0.45</v>
      </c>
      <c r="I3" s="9" t="n">
        <v>47062</v>
      </c>
      <c r="J3" s="7" t="n">
        <v>500</v>
      </c>
      <c r="K3" s="10" t="n">
        <f aca="false">J3*G3</f>
        <v>210</v>
      </c>
      <c r="L3" s="11" t="n">
        <f aca="false">K3/Dashboard!$B$5</f>
        <v>0.021</v>
      </c>
      <c r="M3" s="10" t="n">
        <f aca="false">J3*(H3-G3)</f>
        <v>15</v>
      </c>
      <c r="N3" s="10" t="n">
        <f aca="false">IF(K3&gt;0,M3/K3,0)</f>
        <v>0.0714285714285715</v>
      </c>
      <c r="O3" s="10" t="n">
        <f aca="true">IF(I3&gt;TODAY(),(K3*0.02)/(I3-TODAY()),0)</f>
        <v>0.00414610069101678</v>
      </c>
      <c r="P3" s="10" t="n">
        <f aca="false">K3*0.5</f>
        <v>105</v>
      </c>
      <c r="Q3" s="7" t="s">
        <v>50</v>
      </c>
      <c r="R3" s="7" t="s">
        <v>51</v>
      </c>
      <c r="S3" s="7"/>
    </row>
    <row r="4" customFormat="false" ht="15" hidden="false" customHeight="false" outlineLevel="0" collapsed="false">
      <c r="F4" s="12" t="n">
        <f aca="false">G4-H4</f>
        <v>0</v>
      </c>
      <c r="K4" s="12" t="n">
        <f aca="false">J4*G4</f>
        <v>0</v>
      </c>
      <c r="L4" s="12" t="n">
        <f aca="false">K4/Dashboard!$B$5</f>
        <v>0</v>
      </c>
      <c r="M4" s="12" t="n">
        <f aca="false">J4*(H4-G4)</f>
        <v>0</v>
      </c>
      <c r="N4" s="12" t="n">
        <f aca="false">IF(K4&gt;0,M4/K4,0)</f>
        <v>0</v>
      </c>
      <c r="O4" s="12" t="n">
        <f aca="true">IF(I4&gt;TODAY(),(K4*0.02)/(I4-TODAY()),0)</f>
        <v>0</v>
      </c>
      <c r="P4" s="12" t="n">
        <f aca="false">K4*0.5</f>
        <v>0</v>
      </c>
    </row>
    <row r="5" customFormat="false" ht="15" hidden="false" customHeight="false" outlineLevel="0" collapsed="false">
      <c r="F5" s="12" t="n">
        <f aca="false">G5-H5</f>
        <v>0</v>
      </c>
      <c r="K5" s="12" t="n">
        <f aca="false">J5*G5</f>
        <v>0</v>
      </c>
      <c r="L5" s="12" t="n">
        <f aca="false">K5/Dashboard!$B$5</f>
        <v>0</v>
      </c>
      <c r="M5" s="12" t="n">
        <f aca="false">J5*(H5-G5)</f>
        <v>0</v>
      </c>
      <c r="N5" s="12" t="n">
        <f aca="false">IF(K5&gt;0,M5/K5,0)</f>
        <v>0</v>
      </c>
      <c r="O5" s="12" t="n">
        <f aca="true">IF(I5&gt;TODAY(),(K5*0.02)/(I5-TODAY()),0)</f>
        <v>0</v>
      </c>
      <c r="P5" s="12" t="n">
        <f aca="false">K5*0.5</f>
        <v>0</v>
      </c>
    </row>
    <row r="6" customFormat="false" ht="15" hidden="false" customHeight="false" outlineLevel="0" collapsed="false">
      <c r="F6" s="12" t="n">
        <f aca="false">G6-H6</f>
        <v>0</v>
      </c>
      <c r="K6" s="12" t="n">
        <f aca="false">J6*G6</f>
        <v>0</v>
      </c>
      <c r="L6" s="12" t="n">
        <f aca="false">K6/Dashboard!$B$5</f>
        <v>0</v>
      </c>
      <c r="M6" s="12" t="n">
        <f aca="false">J6*(H6-G6)</f>
        <v>0</v>
      </c>
      <c r="N6" s="12" t="n">
        <f aca="false">IF(K6&gt;0,M6/K6,0)</f>
        <v>0</v>
      </c>
      <c r="O6" s="12" t="n">
        <f aca="true">IF(I6&gt;TODAY(),(K6*0.02)/(I6-TODAY()),0)</f>
        <v>0</v>
      </c>
      <c r="P6" s="12" t="n">
        <f aca="false">K6*0.5</f>
        <v>0</v>
      </c>
    </row>
    <row r="7" customFormat="false" ht="15" hidden="false" customHeight="false" outlineLevel="0" collapsed="false">
      <c r="F7" s="12" t="n">
        <f aca="false">G7-H7</f>
        <v>0</v>
      </c>
      <c r="K7" s="12" t="n">
        <f aca="false">J7*G7</f>
        <v>0</v>
      </c>
      <c r="L7" s="12" t="n">
        <f aca="false">K7/Dashboard!$B$5</f>
        <v>0</v>
      </c>
      <c r="M7" s="12" t="n">
        <f aca="false">J7*(H7-G7)</f>
        <v>0</v>
      </c>
      <c r="N7" s="12" t="n">
        <f aca="false">IF(K7&gt;0,M7/K7,0)</f>
        <v>0</v>
      </c>
      <c r="O7" s="12" t="n">
        <f aca="true">IF(I7&gt;TODAY(),(K7*0.02)/(I7-TODAY()),0)</f>
        <v>0</v>
      </c>
      <c r="P7" s="12" t="n">
        <f aca="false">K7*0.5</f>
        <v>0</v>
      </c>
    </row>
    <row r="8" customFormat="false" ht="15" hidden="false" customHeight="false" outlineLevel="0" collapsed="false">
      <c r="F8" s="12" t="n">
        <f aca="false">G8-H8</f>
        <v>0</v>
      </c>
      <c r="K8" s="12" t="n">
        <f aca="false">J8*G8</f>
        <v>0</v>
      </c>
      <c r="L8" s="12" t="n">
        <f aca="false">K8/Dashboard!$B$5</f>
        <v>0</v>
      </c>
      <c r="M8" s="12" t="n">
        <f aca="false">J8*(H8-G8)</f>
        <v>0</v>
      </c>
      <c r="N8" s="12" t="n">
        <f aca="false">IF(K8&gt;0,M8/K8,0)</f>
        <v>0</v>
      </c>
      <c r="O8" s="12" t="n">
        <f aca="true">IF(I8&gt;TODAY(),(K8*0.02)/(I8-TODAY()),0)</f>
        <v>0</v>
      </c>
      <c r="P8" s="12" t="n">
        <f aca="false">K8*0.5</f>
        <v>0</v>
      </c>
    </row>
    <row r="9" customFormat="false" ht="15" hidden="false" customHeight="false" outlineLevel="0" collapsed="false">
      <c r="F9" s="12" t="n">
        <f aca="false">G9-H9</f>
        <v>0</v>
      </c>
      <c r="K9" s="12" t="n">
        <f aca="false">J9*G9</f>
        <v>0</v>
      </c>
      <c r="L9" s="12" t="n">
        <f aca="false">K9/Dashboard!$B$5</f>
        <v>0</v>
      </c>
      <c r="M9" s="12" t="n">
        <f aca="false">J9*(H9-G9)</f>
        <v>0</v>
      </c>
      <c r="N9" s="12" t="n">
        <f aca="false">IF(K9&gt;0,M9/K9,0)</f>
        <v>0</v>
      </c>
      <c r="O9" s="12" t="n">
        <f aca="true">IF(I9&gt;TODAY(),(K9*0.02)/(I9-TODAY()),0)</f>
        <v>0</v>
      </c>
      <c r="P9" s="12" t="n">
        <f aca="false">K9*0.5</f>
        <v>0</v>
      </c>
    </row>
    <row r="10" customFormat="false" ht="15" hidden="false" customHeight="false" outlineLevel="0" collapsed="false">
      <c r="F10" s="12" t="n">
        <f aca="false">G10-H10</f>
        <v>0</v>
      </c>
      <c r="K10" s="12" t="n">
        <f aca="false">J10*G10</f>
        <v>0</v>
      </c>
      <c r="L10" s="12" t="n">
        <f aca="false">K10/Dashboard!$B$5</f>
        <v>0</v>
      </c>
      <c r="M10" s="12" t="n">
        <f aca="false">J10*(H10-G10)</f>
        <v>0</v>
      </c>
      <c r="N10" s="12" t="n">
        <f aca="false">IF(K10&gt;0,M10/K10,0)</f>
        <v>0</v>
      </c>
      <c r="O10" s="12" t="n">
        <f aca="true">IF(I10&gt;TODAY(),(K10*0.02)/(I10-TODAY()),0)</f>
        <v>0</v>
      </c>
      <c r="P10" s="12" t="n">
        <f aca="false">K10*0.5</f>
        <v>0</v>
      </c>
    </row>
    <row r="11" customFormat="false" ht="15" hidden="false" customHeight="false" outlineLevel="0" collapsed="false">
      <c r="F11" s="12" t="n">
        <f aca="false">G11-H11</f>
        <v>0</v>
      </c>
      <c r="K11" s="12" t="n">
        <f aca="false">J11*G11</f>
        <v>0</v>
      </c>
      <c r="L11" s="12" t="n">
        <f aca="false">K11/Dashboard!$B$5</f>
        <v>0</v>
      </c>
      <c r="M11" s="12" t="n">
        <f aca="false">J11*(H11-G11)</f>
        <v>0</v>
      </c>
      <c r="N11" s="12" t="n">
        <f aca="false">IF(K11&gt;0,M11/K11,0)</f>
        <v>0</v>
      </c>
      <c r="O11" s="12" t="n">
        <f aca="true">IF(I11&gt;TODAY(),(K11*0.02)/(I11-TODAY()),0)</f>
        <v>0</v>
      </c>
      <c r="P11" s="12" t="n">
        <f aca="false">K11*0.5</f>
        <v>0</v>
      </c>
    </row>
    <row r="12" customFormat="false" ht="15" hidden="false" customHeight="false" outlineLevel="0" collapsed="false">
      <c r="F12" s="12" t="n">
        <f aca="false">G12-H12</f>
        <v>0</v>
      </c>
      <c r="K12" s="12" t="n">
        <f aca="false">J12*G12</f>
        <v>0</v>
      </c>
      <c r="L12" s="12" t="n">
        <f aca="false">K12/Dashboard!$B$5</f>
        <v>0</v>
      </c>
      <c r="M12" s="12" t="n">
        <f aca="false">J12*(H12-G12)</f>
        <v>0</v>
      </c>
      <c r="N12" s="12" t="n">
        <f aca="false">IF(K12&gt;0,M12/K12,0)</f>
        <v>0</v>
      </c>
      <c r="O12" s="12" t="n">
        <f aca="true">IF(I12&gt;TODAY(),(K12*0.02)/(I12-TODAY()),0)</f>
        <v>0</v>
      </c>
      <c r="P12" s="12" t="n">
        <f aca="false">K12*0.5</f>
        <v>0</v>
      </c>
    </row>
    <row r="13" customFormat="false" ht="15" hidden="false" customHeight="false" outlineLevel="0" collapsed="false">
      <c r="F13" s="12" t="n">
        <f aca="false">G13-H13</f>
        <v>0</v>
      </c>
      <c r="K13" s="12" t="n">
        <f aca="false">J13*G13</f>
        <v>0</v>
      </c>
      <c r="L13" s="12" t="n">
        <f aca="false">K13/Dashboard!$B$5</f>
        <v>0</v>
      </c>
      <c r="M13" s="12" t="n">
        <f aca="false">J13*(H13-G13)</f>
        <v>0</v>
      </c>
      <c r="N13" s="12" t="n">
        <f aca="false">IF(K13&gt;0,M13/K13,0)</f>
        <v>0</v>
      </c>
      <c r="O13" s="12" t="n">
        <f aca="true">IF(I13&gt;TODAY(),(K13*0.02)/(I13-TODAY()),0)</f>
        <v>0</v>
      </c>
      <c r="P13" s="12" t="n">
        <f aca="false">K13*0.5</f>
        <v>0</v>
      </c>
    </row>
  </sheetData>
  <dataValidations count="3">
    <dataValidation allowBlank="true" errorStyle="stop" operator="between" showDropDown="false" showErrorMessage="false" showInputMessage="false" sqref="C3:C102" type="list">
      <formula1>"YES,NO"</formula1>
      <formula2>0</formula2>
    </dataValidation>
    <dataValidation allowBlank="true" errorStyle="stop" operator="between" showDropDown="false" showErrorMessage="false" showInputMessage="false" sqref="R3:R102" type="list">
      <formula1>"High,Medium,Low,Speculative"</formula1>
      <formula2>0</formula2>
    </dataValidation>
    <dataValidation allowBlank="true" errorStyle="stop" operator="between" showDropDown="false" showErrorMessage="false" showInputMessage="false" sqref="Q3:Q102" type="list">
      <formula1>Correlations!$A$3:$A$12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5"/>
    <col collapsed="false" customWidth="true" hidden="false" outlineLevel="0" max="5" min="4" style="0" width="25"/>
  </cols>
  <sheetData>
    <row r="1" customFormat="false" ht="17.35" hidden="false" customHeight="false" outlineLevel="0" collapsed="false">
      <c r="A1" s="8" t="s">
        <v>52</v>
      </c>
    </row>
    <row r="3" customFormat="false" ht="28.35" hidden="false" customHeight="false" outlineLevel="0" collapsed="false">
      <c r="A3" s="13" t="s">
        <v>53</v>
      </c>
      <c r="B3" s="13"/>
      <c r="C3" s="13"/>
      <c r="D3" s="13" t="s">
        <v>54</v>
      </c>
      <c r="E3" s="13"/>
      <c r="F3" s="13"/>
    </row>
    <row r="4" customFormat="false" ht="15" hidden="false" customHeight="false" outlineLevel="0" collapsed="false">
      <c r="A4" s="0" t="s">
        <v>55</v>
      </c>
      <c r="B4" s="11" t="n">
        <f aca="false">Dashboard!B5</f>
        <v>10000</v>
      </c>
      <c r="D4" s="12" t="s">
        <v>31</v>
      </c>
      <c r="E4" s="7" t="s">
        <v>56</v>
      </c>
    </row>
    <row r="5" customFormat="false" ht="15" hidden="false" customHeight="false" outlineLevel="0" collapsed="false">
      <c r="A5" s="0" t="s">
        <v>57</v>
      </c>
      <c r="B5" s="7" t="n">
        <v>0.25</v>
      </c>
      <c r="D5" s="12" t="s">
        <v>58</v>
      </c>
      <c r="E5" s="7" t="n">
        <v>0.65</v>
      </c>
    </row>
    <row r="6" customFormat="false" ht="15" hidden="false" customHeight="false" outlineLevel="0" collapsed="false">
      <c r="A6" s="0" t="s">
        <v>59</v>
      </c>
      <c r="B6" s="7" t="n">
        <v>0.1</v>
      </c>
      <c r="D6" s="12" t="s">
        <v>60</v>
      </c>
      <c r="E6" s="7" t="n">
        <v>0.55</v>
      </c>
    </row>
    <row r="7" customFormat="false" ht="15" hidden="false" customHeight="false" outlineLevel="0" collapsed="false">
      <c r="A7" s="0" t="s">
        <v>61</v>
      </c>
      <c r="B7" s="7" t="n">
        <v>0.05</v>
      </c>
      <c r="D7" s="12" t="s">
        <v>62</v>
      </c>
      <c r="E7" s="7" t="s">
        <v>51</v>
      </c>
    </row>
    <row r="8" customFormat="false" ht="15" hidden="false" customHeight="false" outlineLevel="0" collapsed="false">
      <c r="A8" s="0" t="s">
        <v>63</v>
      </c>
      <c r="B8" s="7" t="n">
        <v>1</v>
      </c>
      <c r="D8" s="12" t="s">
        <v>64</v>
      </c>
      <c r="E8" s="7" t="n">
        <v>50000</v>
      </c>
    </row>
    <row r="9" customFormat="false" ht="15" hidden="false" customHeight="false" outlineLevel="0" collapsed="false">
      <c r="A9" s="0" t="s">
        <v>65</v>
      </c>
      <c r="B9" s="7" t="n">
        <v>0.7</v>
      </c>
      <c r="D9" s="12" t="s">
        <v>66</v>
      </c>
      <c r="E9" s="7" t="n">
        <v>90</v>
      </c>
    </row>
    <row r="10" customFormat="false" ht="15" hidden="false" customHeight="false" outlineLevel="0" collapsed="false">
      <c r="A10" s="0" t="s">
        <v>67</v>
      </c>
      <c r="B10" s="7" t="n">
        <v>0.4</v>
      </c>
    </row>
    <row r="11" customFormat="false" ht="15" hidden="false" customHeight="false" outlineLevel="0" collapsed="false">
      <c r="A11" s="0" t="s">
        <v>68</v>
      </c>
      <c r="B11" s="7" t="n">
        <v>0.2</v>
      </c>
      <c r="D11" s="14" t="s">
        <v>69</v>
      </c>
    </row>
    <row r="12" customFormat="false" ht="15" hidden="false" customHeight="false" outlineLevel="0" collapsed="false">
      <c r="D12" s="0" t="s">
        <v>70</v>
      </c>
      <c r="E12" s="10" t="n">
        <f aca="false">E5-E6</f>
        <v>0.1</v>
      </c>
    </row>
    <row r="13" customFormat="false" ht="15" hidden="false" customHeight="false" outlineLevel="0" collapsed="false">
      <c r="D13" s="0" t="s">
        <v>71</v>
      </c>
      <c r="E13" s="10" t="str">
        <f aca="false">IF(E5&gt;E6,"YES","NO")</f>
        <v>YES</v>
      </c>
    </row>
    <row r="14" customFormat="false" ht="15" hidden="false" customHeight="false" outlineLevel="0" collapsed="false">
      <c r="D14" s="0" t="s">
        <v>72</v>
      </c>
      <c r="E14" s="10" t="n">
        <f aca="false">IF(E6&gt;0,IF(E5&gt;E6,(1-E6)/E6,E6/(1-E6)),1)</f>
        <v>0.818181818181818</v>
      </c>
    </row>
    <row r="15" customFormat="false" ht="15" hidden="false" customHeight="false" outlineLevel="0" collapsed="false">
      <c r="D15" s="0" t="s">
        <v>73</v>
      </c>
      <c r="E15" s="10" t="n">
        <f aca="false">IF(ABS(E12)&lt;$B$7,0,IF(E14&gt;0,MAX(0,(E5*E14-(1-E5))/E14),0))</f>
        <v>0.222222222222222</v>
      </c>
    </row>
    <row r="16" customFormat="false" ht="15" hidden="false" customHeight="false" outlineLevel="0" collapsed="false">
      <c r="D16" s="0" t="s">
        <v>74</v>
      </c>
      <c r="E16" s="10" t="n">
        <f aca="false">E15*$B$5</f>
        <v>0.0555555555555556</v>
      </c>
    </row>
    <row r="17" customFormat="false" ht="15" hidden="false" customHeight="false" outlineLevel="0" collapsed="false">
      <c r="D17" s="0" t="s">
        <v>75</v>
      </c>
      <c r="E17" s="10" t="n">
        <f aca="false">E16*IF(E7="High",$B$8,IF(E7="Medium",$B$9,IF(E7="Low",$B$10,$B$11)))</f>
        <v>0.0555555555555556</v>
      </c>
    </row>
    <row r="18" customFormat="false" ht="15" hidden="false" customHeight="false" outlineLevel="0" collapsed="false">
      <c r="D18" s="0" t="s">
        <v>76</v>
      </c>
      <c r="E18" s="10" t="n">
        <f aca="false">MIN(E17,$B$6)</f>
        <v>0.0555555555555556</v>
      </c>
    </row>
    <row r="19" customFormat="false" ht="15" hidden="false" customHeight="false" outlineLevel="0" collapsed="false">
      <c r="D19" s="0" t="s">
        <v>77</v>
      </c>
      <c r="E19" s="10" t="n">
        <f aca="false">IF($B$4&gt;0,MIN(E18,E8*0.1/$B$4),E18)</f>
        <v>0.0555555555555556</v>
      </c>
    </row>
    <row r="20" customFormat="false" ht="15" hidden="false" customHeight="false" outlineLevel="0" collapsed="false">
      <c r="D20" s="0" t="s">
        <v>78</v>
      </c>
      <c r="E20" s="10" t="n">
        <f aca="false">E19*$B$4</f>
        <v>555.555555555556</v>
      </c>
    </row>
    <row r="21" customFormat="false" ht="15" hidden="false" customHeight="false" outlineLevel="0" collapsed="false">
      <c r="D21" s="0" t="s">
        <v>79</v>
      </c>
      <c r="E21" s="10" t="n">
        <f aca="false">E19</f>
        <v>0.0555555555555556</v>
      </c>
    </row>
    <row r="22" customFormat="false" ht="15" hidden="false" customHeight="false" outlineLevel="0" collapsed="false">
      <c r="D22" s="0" t="s">
        <v>80</v>
      </c>
      <c r="E22" s="10" t="n">
        <f aca="false">IF(E6&gt;0,E20*(E5*(1-E6)/E6-(1-E5)),0)</f>
        <v>101.010101010101</v>
      </c>
    </row>
    <row r="23" customFormat="false" ht="15" hidden="false" customHeight="false" outlineLevel="0" collapsed="false">
      <c r="D23" s="0" t="s">
        <v>81</v>
      </c>
      <c r="E23" s="10" t="n">
        <f aca="false">E20</f>
        <v>555.555555555556</v>
      </c>
    </row>
    <row r="24" customFormat="false" ht="15" hidden="false" customHeight="false" outlineLevel="0" collapsed="false">
      <c r="D24" s="0" t="s">
        <v>82</v>
      </c>
      <c r="E24" s="10" t="n">
        <f aca="false">IF(E6&gt;0,E20*(1-E6)/E6,0)</f>
        <v>454.545454545454</v>
      </c>
    </row>
    <row r="26" customFormat="false" ht="15" hidden="false" customHeight="false" outlineLevel="0" collapsed="false">
      <c r="D26" s="2" t="s">
        <v>83</v>
      </c>
    </row>
    <row r="27" customFormat="false" ht="15" hidden="false" customHeight="false" outlineLevel="0" collapsed="false">
      <c r="D27" s="0" t="str">
        <f aca="false">IF(ABS(E12)&lt;$B$7,"NO BET - Edge below threshold",IF(E20&gt;0,CONCATENATE("BET ",E13," with $",ROUND(E20,0)," (",ROUND(E21*100,1),"% of bankroll)"),"NO BET"))</f>
        <v>BET YES with $556 (5.6% of bankroll)</v>
      </c>
    </row>
  </sheetData>
  <dataValidations count="1">
    <dataValidation allowBlank="false" errorStyle="stop" operator="between" showDropDown="false" showErrorMessage="false" showInputMessage="false" sqref="E7" type="list">
      <formula1>"High,Medium,Low,Speculative"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8"/>
  </cols>
  <sheetData>
    <row r="1" customFormat="false" ht="17.35" hidden="false" customHeight="false" outlineLevel="0" collapsed="false">
      <c r="A1" s="8" t="s">
        <v>84</v>
      </c>
    </row>
    <row r="3" customFormat="false" ht="15" hidden="false" customHeight="false" outlineLevel="0" collapsed="false">
      <c r="A3" s="0" t="s">
        <v>85</v>
      </c>
    </row>
    <row r="4" customFormat="false" ht="15" hidden="false" customHeight="false" outlineLevel="0" collapsed="false">
      <c r="A4" s="0" t="s">
        <v>86</v>
      </c>
    </row>
    <row r="5" customFormat="false" ht="15" hidden="false" customHeight="false" outlineLevel="0" collapsed="false">
      <c r="A5" s="0" t="s">
        <v>87</v>
      </c>
    </row>
    <row r="6" customFormat="false" ht="15" hidden="false" customHeight="false" outlineLevel="0" collapsed="false">
      <c r="A6" s="0" t="s">
        <v>88</v>
      </c>
    </row>
    <row r="7" customFormat="false" ht="15" hidden="false" customHeight="false" outlineLevel="0" collapsed="false">
      <c r="A7" s="0" t="s">
        <v>89</v>
      </c>
    </row>
    <row r="9" customFormat="false" ht="15" hidden="false" customHeight="false" outlineLevel="0" collapsed="false">
      <c r="A9" s="14" t="s">
        <v>90</v>
      </c>
    </row>
    <row r="10" customFormat="false" ht="15" hidden="false" customHeight="false" outlineLevel="0" collapsed="false">
      <c r="A10" s="3" t="s">
        <v>91</v>
      </c>
      <c r="B10" s="3" t="s">
        <v>92</v>
      </c>
      <c r="C10" s="3" t="s">
        <v>93</v>
      </c>
      <c r="D10" s="3" t="s">
        <v>94</v>
      </c>
    </row>
    <row r="11" customFormat="false" ht="15" hidden="false" customHeight="false" outlineLevel="0" collapsed="false">
      <c r="A11" s="0" t="s">
        <v>95</v>
      </c>
      <c r="B11" s="10" t="n">
        <f aca="false">SUM(Positions!O3:O102)</f>
        <v>0.00414610069101678</v>
      </c>
      <c r="C11" s="10" t="n">
        <f aca="false">-B11</f>
        <v>-0.00414610069101678</v>
      </c>
      <c r="D11" s="10" t="n">
        <f aca="false">-B11*7</f>
        <v>-0.0290227048371175</v>
      </c>
    </row>
    <row r="12" customFormat="false" ht="15" hidden="false" customHeight="false" outlineLevel="0" collapsed="false">
      <c r="A12" s="0" t="s">
        <v>96</v>
      </c>
      <c r="B12" s="10" t="n">
        <f aca="false">SUM(Positions!P3:P102)</f>
        <v>105</v>
      </c>
      <c r="C12" s="10" t="n">
        <f aca="false">B12*0.01</f>
        <v>1.05</v>
      </c>
      <c r="D12" s="10" t="n">
        <f aca="false">B12*0.05</f>
        <v>5.25</v>
      </c>
    </row>
    <row r="13" customFormat="false" ht="15" hidden="false" customHeight="false" outlineLevel="0" collapsed="false">
      <c r="A13" s="0" t="s">
        <v>97</v>
      </c>
      <c r="B13" s="10" t="n">
        <f aca="false">SUMPRODUCT((Positions!C3:C102="YES")*Positions!K3:K102)-SUMPRODUCT((Positions!C3:C102="NO")*Positions!K3:K102)</f>
        <v>210</v>
      </c>
      <c r="C13" s="7"/>
      <c r="D13" s="7"/>
    </row>
    <row r="14" customFormat="false" ht="15" hidden="false" customHeight="false" outlineLevel="0" collapsed="false">
      <c r="A14" s="0" t="s">
        <v>98</v>
      </c>
      <c r="B14" s="10" t="n">
        <f aca="false">ABS(B13)</f>
        <v>210</v>
      </c>
      <c r="C14" s="7"/>
      <c r="D14" s="7"/>
    </row>
    <row r="17" customFormat="false" ht="15" hidden="false" customHeight="false" outlineLevel="0" collapsed="false">
      <c r="A17" s="14" t="s">
        <v>99</v>
      </c>
    </row>
    <row r="18" customFormat="false" ht="15" hidden="false" customHeight="false" outlineLevel="0" collapsed="false">
      <c r="A18" s="3" t="s">
        <v>100</v>
      </c>
      <c r="B18" s="3" t="s">
        <v>101</v>
      </c>
      <c r="C18" s="3" t="s">
        <v>102</v>
      </c>
      <c r="D18" s="3" t="s">
        <v>103</v>
      </c>
      <c r="E18" s="3" t="s">
        <v>104</v>
      </c>
      <c r="F18" s="3" t="s">
        <v>105</v>
      </c>
      <c r="G18" s="3" t="s">
        <v>106</v>
      </c>
    </row>
    <row r="19" customFormat="false" ht="15" hidden="false" customHeight="false" outlineLevel="0" collapsed="false">
      <c r="A19" s="11" t="str">
        <f aca="false">Positions!B3</f>
        <v>Trump wins 2028 election</v>
      </c>
      <c r="B19" s="10" t="n">
        <f aca="true">IF(Positions!I3&gt;0,Positions!I3-TODAY(),"")</f>
        <v>1013</v>
      </c>
      <c r="C19" s="11" t="n">
        <f aca="false">Positions!K3</f>
        <v>210</v>
      </c>
      <c r="D19" s="11" t="n">
        <f aca="false">Positions!O3</f>
        <v>0.00414610069101678</v>
      </c>
      <c r="E19" s="11" t="n">
        <f aca="false">Positions!P3</f>
        <v>105</v>
      </c>
      <c r="F19" s="10" t="n">
        <f aca="false">IF(Positions!C3="YES",Positions!K3,-Positions!K3)</f>
        <v>210</v>
      </c>
      <c r="G19" s="10" t="n">
        <f aca="false">IF(AND(Positions!E3&gt;0,B19&gt;0),(Positions!E3-Positions!F3)/Positions!E3,"")</f>
        <v>1.375</v>
      </c>
    </row>
    <row r="20" customFormat="false" ht="15" hidden="false" customHeight="false" outlineLevel="0" collapsed="false">
      <c r="A20" s="11" t="n">
        <f aca="false">Positions!B4</f>
        <v>0</v>
      </c>
      <c r="B20" s="10" t="str">
        <f aca="true">IF(Positions!I4&gt;0,Positions!I4-TODAY(),"")</f>
        <v/>
      </c>
      <c r="C20" s="11" t="n">
        <f aca="false">Positions!K4</f>
        <v>0</v>
      </c>
      <c r="D20" s="11" t="n">
        <f aca="false">Positions!O4</f>
        <v>0</v>
      </c>
      <c r="E20" s="11" t="n">
        <f aca="false">Positions!P4</f>
        <v>0</v>
      </c>
      <c r="F20" s="10" t="n">
        <f aca="false">IF(Positions!C4="YES",Positions!K4,-Positions!K4)</f>
        <v>-0</v>
      </c>
      <c r="G20" s="10" t="str">
        <f aca="false">IF(AND(Positions!E4&gt;0,B20&gt;0),(Positions!E4-Positions!F4)/Positions!E4,"")</f>
        <v/>
      </c>
    </row>
    <row r="21" customFormat="false" ht="15" hidden="false" customHeight="false" outlineLevel="0" collapsed="false">
      <c r="A21" s="11" t="n">
        <f aca="false">Positions!B5</f>
        <v>0</v>
      </c>
      <c r="B21" s="10" t="str">
        <f aca="true">IF(Positions!I5&gt;0,Positions!I5-TODAY(),"")</f>
        <v/>
      </c>
      <c r="C21" s="11" t="n">
        <f aca="false">Positions!K5</f>
        <v>0</v>
      </c>
      <c r="D21" s="11" t="n">
        <f aca="false">Positions!O5</f>
        <v>0</v>
      </c>
      <c r="E21" s="11" t="n">
        <f aca="false">Positions!P5</f>
        <v>0</v>
      </c>
      <c r="F21" s="10" t="n">
        <f aca="false">IF(Positions!C5="YES",Positions!K5,-Positions!K5)</f>
        <v>-0</v>
      </c>
      <c r="G21" s="10" t="str">
        <f aca="false">IF(AND(Positions!E5&gt;0,B21&gt;0),(Positions!E5-Positions!F5)/Positions!E5,"")</f>
        <v/>
      </c>
    </row>
    <row r="22" customFormat="false" ht="15" hidden="false" customHeight="false" outlineLevel="0" collapsed="false">
      <c r="A22" s="11" t="n">
        <f aca="false">Positions!B6</f>
        <v>0</v>
      </c>
      <c r="B22" s="10" t="str">
        <f aca="true">IF(Positions!I6&gt;0,Positions!I6-TODAY(),"")</f>
        <v/>
      </c>
      <c r="C22" s="11" t="n">
        <f aca="false">Positions!K6</f>
        <v>0</v>
      </c>
      <c r="D22" s="11" t="n">
        <f aca="false">Positions!O6</f>
        <v>0</v>
      </c>
      <c r="E22" s="11" t="n">
        <f aca="false">Positions!P6</f>
        <v>0</v>
      </c>
      <c r="F22" s="10" t="n">
        <f aca="false">IF(Positions!C6="YES",Positions!K6,-Positions!K6)</f>
        <v>-0</v>
      </c>
      <c r="G22" s="10" t="str">
        <f aca="false">IF(AND(Positions!E6&gt;0,B22&gt;0),(Positions!E6-Positions!F6)/Positions!E6,"")</f>
        <v/>
      </c>
    </row>
    <row r="23" customFormat="false" ht="15" hidden="false" customHeight="false" outlineLevel="0" collapsed="false">
      <c r="A23" s="11" t="n">
        <f aca="false">Positions!B7</f>
        <v>0</v>
      </c>
      <c r="B23" s="10" t="str">
        <f aca="true">IF(Positions!I7&gt;0,Positions!I7-TODAY(),"")</f>
        <v/>
      </c>
      <c r="C23" s="11" t="n">
        <f aca="false">Positions!K7</f>
        <v>0</v>
      </c>
      <c r="D23" s="11" t="n">
        <f aca="false">Positions!O7</f>
        <v>0</v>
      </c>
      <c r="E23" s="11" t="n">
        <f aca="false">Positions!P7</f>
        <v>0</v>
      </c>
      <c r="F23" s="10" t="n">
        <f aca="false">IF(Positions!C7="YES",Positions!K7,-Positions!K7)</f>
        <v>-0</v>
      </c>
      <c r="G23" s="10" t="str">
        <f aca="false">IF(AND(Positions!E7&gt;0,B23&gt;0),(Positions!E7-Positions!F7)/Positions!E7,"")</f>
        <v/>
      </c>
    </row>
    <row r="24" customFormat="false" ht="15" hidden="false" customHeight="false" outlineLevel="0" collapsed="false">
      <c r="A24" s="11" t="n">
        <f aca="false">Positions!B8</f>
        <v>0</v>
      </c>
      <c r="B24" s="10" t="str">
        <f aca="true">IF(Positions!I8&gt;0,Positions!I8-TODAY(),"")</f>
        <v/>
      </c>
      <c r="C24" s="11" t="n">
        <f aca="false">Positions!K8</f>
        <v>0</v>
      </c>
      <c r="D24" s="11" t="n">
        <f aca="false">Positions!O8</f>
        <v>0</v>
      </c>
      <c r="E24" s="11" t="n">
        <f aca="false">Positions!P8</f>
        <v>0</v>
      </c>
      <c r="F24" s="10" t="n">
        <f aca="false">IF(Positions!C8="YES",Positions!K8,-Positions!K8)</f>
        <v>-0</v>
      </c>
      <c r="G24" s="10" t="str">
        <f aca="false">IF(AND(Positions!E8&gt;0,B24&gt;0),(Positions!E8-Positions!F8)/Positions!E8,"")</f>
        <v/>
      </c>
    </row>
    <row r="25" customFormat="false" ht="15" hidden="false" customHeight="false" outlineLevel="0" collapsed="false">
      <c r="A25" s="11" t="n">
        <f aca="false">Positions!B9</f>
        <v>0</v>
      </c>
      <c r="B25" s="10" t="str">
        <f aca="true">IF(Positions!I9&gt;0,Positions!I9-TODAY(),"")</f>
        <v/>
      </c>
      <c r="C25" s="11" t="n">
        <f aca="false">Positions!K9</f>
        <v>0</v>
      </c>
      <c r="D25" s="11" t="n">
        <f aca="false">Positions!O9</f>
        <v>0</v>
      </c>
      <c r="E25" s="11" t="n">
        <f aca="false">Positions!P9</f>
        <v>0</v>
      </c>
      <c r="F25" s="10" t="n">
        <f aca="false">IF(Positions!C9="YES",Positions!K9,-Positions!K9)</f>
        <v>-0</v>
      </c>
      <c r="G25" s="10" t="str">
        <f aca="false">IF(AND(Positions!E9&gt;0,B25&gt;0),(Positions!E9-Positions!F9)/Positions!E9,"")</f>
        <v/>
      </c>
    </row>
    <row r="26" customFormat="false" ht="15" hidden="false" customHeight="false" outlineLevel="0" collapsed="false">
      <c r="A26" s="11" t="n">
        <f aca="false">Positions!B10</f>
        <v>0</v>
      </c>
      <c r="B26" s="10" t="str">
        <f aca="true">IF(Positions!I10&gt;0,Positions!I10-TODAY(),"")</f>
        <v/>
      </c>
      <c r="C26" s="11" t="n">
        <f aca="false">Positions!K10</f>
        <v>0</v>
      </c>
      <c r="D26" s="11" t="n">
        <f aca="false">Positions!O10</f>
        <v>0</v>
      </c>
      <c r="E26" s="11" t="n">
        <f aca="false">Positions!P10</f>
        <v>0</v>
      </c>
      <c r="F26" s="10" t="n">
        <f aca="false">IF(Positions!C10="YES",Positions!K10,-Positions!K10)</f>
        <v>-0</v>
      </c>
      <c r="G26" s="10" t="str">
        <f aca="false">IF(AND(Positions!E10&gt;0,B26&gt;0),(Positions!E10-Positions!F10)/Positions!E10,"")</f>
        <v/>
      </c>
    </row>
    <row r="27" customFormat="false" ht="15" hidden="false" customHeight="false" outlineLevel="0" collapsed="false">
      <c r="A27" s="11" t="n">
        <f aca="false">Positions!B11</f>
        <v>0</v>
      </c>
      <c r="B27" s="10" t="str">
        <f aca="true">IF(Positions!I11&gt;0,Positions!I11-TODAY(),"")</f>
        <v/>
      </c>
      <c r="C27" s="11" t="n">
        <f aca="false">Positions!K11</f>
        <v>0</v>
      </c>
      <c r="D27" s="11" t="n">
        <f aca="false">Positions!O11</f>
        <v>0</v>
      </c>
      <c r="E27" s="11" t="n">
        <f aca="false">Positions!P11</f>
        <v>0</v>
      </c>
      <c r="F27" s="10" t="n">
        <f aca="false">IF(Positions!C11="YES",Positions!K11,-Positions!K11)</f>
        <v>-0</v>
      </c>
      <c r="G27" s="10" t="str">
        <f aca="false">IF(AND(Positions!E11&gt;0,B27&gt;0),(Positions!E11-Positions!F11)/Positions!E11,"")</f>
        <v/>
      </c>
    </row>
    <row r="28" customFormat="false" ht="15" hidden="false" customHeight="false" outlineLevel="0" collapsed="false">
      <c r="A28" s="11" t="n">
        <f aca="false">Positions!B12</f>
        <v>0</v>
      </c>
      <c r="B28" s="10" t="str">
        <f aca="true">IF(Positions!I12&gt;0,Positions!I12-TODAY(),"")</f>
        <v/>
      </c>
      <c r="C28" s="11" t="n">
        <f aca="false">Positions!K12</f>
        <v>0</v>
      </c>
      <c r="D28" s="11" t="n">
        <f aca="false">Positions!O12</f>
        <v>0</v>
      </c>
      <c r="E28" s="11" t="n">
        <f aca="false">Positions!P12</f>
        <v>0</v>
      </c>
      <c r="F28" s="10" t="n">
        <f aca="false">IF(Positions!C12="YES",Positions!K12,-Positions!K12)</f>
        <v>-0</v>
      </c>
      <c r="G28" s="10" t="str">
        <f aca="false">IF(AND(Positions!E12&gt;0,B28&gt;0),(Positions!E12-Positions!F12)/Positions!E12,"")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8"/>
  </cols>
  <sheetData>
    <row r="1" customFormat="false" ht="17.35" hidden="false" customHeight="false" outlineLevel="0" collapsed="false">
      <c r="A1" s="8" t="s">
        <v>107</v>
      </c>
    </row>
    <row r="3" customFormat="false" ht="15" hidden="false" customHeight="false" outlineLevel="0" collapsed="false">
      <c r="A3" s="3" t="s">
        <v>108</v>
      </c>
      <c r="B3" s="3" t="s">
        <v>109</v>
      </c>
      <c r="C3" s="3" t="s">
        <v>110</v>
      </c>
      <c r="D3" s="3" t="s">
        <v>111</v>
      </c>
      <c r="E3" s="3" t="s">
        <v>112</v>
      </c>
      <c r="F3" s="3" t="s">
        <v>113</v>
      </c>
      <c r="G3" s="3" t="s">
        <v>5</v>
      </c>
      <c r="H3" s="3" t="s">
        <v>114</v>
      </c>
    </row>
    <row r="4" customFormat="false" ht="15" hidden="false" customHeight="false" outlineLevel="0" collapsed="false">
      <c r="A4" s="7" t="s">
        <v>50</v>
      </c>
      <c r="B4" s="7" t="s">
        <v>115</v>
      </c>
      <c r="C4" s="10" t="n">
        <f aca="false">COUNTIF(Positions!Q:Q,A4)</f>
        <v>1</v>
      </c>
      <c r="D4" s="10" t="n">
        <f aca="false">SUMIF(Positions!Q:Q,A4,Positions!K:K)</f>
        <v>210</v>
      </c>
      <c r="E4" s="11" t="n">
        <f aca="false">IF(Dashboard!$B$5&gt;0,D4/Dashboard!$B$5,0)</f>
        <v>0.021</v>
      </c>
      <c r="F4" s="7" t="n">
        <v>0.25</v>
      </c>
      <c r="G4" s="10" t="str">
        <f aca="false">IF(E4&gt;F4,"⚠ BREACH","✓ OK")</f>
        <v>✓ OK</v>
      </c>
      <c r="H4" s="10" t="n">
        <f aca="false">IF(F4&gt;0,E4/F4,0)</f>
        <v>0.084</v>
      </c>
    </row>
    <row r="5" customFormat="false" ht="15" hidden="false" customHeight="false" outlineLevel="0" collapsed="false">
      <c r="A5" s="7" t="s">
        <v>116</v>
      </c>
      <c r="B5" s="7" t="s">
        <v>117</v>
      </c>
      <c r="C5" s="10" t="n">
        <f aca="false">COUNTIF(Positions!Q:Q,A5)</f>
        <v>0</v>
      </c>
      <c r="D5" s="10" t="n">
        <f aca="false">SUMIF(Positions!Q:Q,A5,Positions!K:K)</f>
        <v>0</v>
      </c>
      <c r="E5" s="11" t="n">
        <f aca="false">IF(Dashboard!$B$5&gt;0,D5/Dashboard!$B$5,0)</f>
        <v>0</v>
      </c>
      <c r="F5" s="7" t="n">
        <v>0.2</v>
      </c>
      <c r="G5" s="10" t="str">
        <f aca="false">IF(E5&gt;F5,"⚠ BREACH","✓ OK")</f>
        <v>✓ OK</v>
      </c>
      <c r="H5" s="10" t="n">
        <f aca="false">IF(F5&gt;0,E5/F5,0)</f>
        <v>0</v>
      </c>
    </row>
    <row r="6" customFormat="false" ht="15" hidden="false" customHeight="false" outlineLevel="0" collapsed="false">
      <c r="A6" s="7" t="s">
        <v>118</v>
      </c>
      <c r="B6" s="7" t="s">
        <v>119</v>
      </c>
      <c r="C6" s="10" t="n">
        <f aca="false">COUNTIF(Positions!Q:Q,A6)</f>
        <v>0</v>
      </c>
      <c r="D6" s="10" t="n">
        <f aca="false">SUMIF(Positions!Q:Q,A6,Positions!K:K)</f>
        <v>0</v>
      </c>
      <c r="E6" s="11" t="n">
        <f aca="false">IF(Dashboard!$B$5&gt;0,D6/Dashboard!$B$5,0)</f>
        <v>0</v>
      </c>
      <c r="F6" s="7" t="n">
        <v>0.2</v>
      </c>
      <c r="G6" s="10" t="str">
        <f aca="false">IF(E6&gt;F6,"⚠ BREACH","✓ OK")</f>
        <v>✓ OK</v>
      </c>
      <c r="H6" s="10" t="n">
        <f aca="false">IF(F6&gt;0,E6/F6,0)</f>
        <v>0</v>
      </c>
    </row>
    <row r="7" customFormat="false" ht="15" hidden="false" customHeight="false" outlineLevel="0" collapsed="false">
      <c r="A7" s="7" t="s">
        <v>120</v>
      </c>
      <c r="B7" s="7" t="s">
        <v>121</v>
      </c>
      <c r="C7" s="10" t="n">
        <f aca="false">COUNTIF(Positions!Q:Q,A7)</f>
        <v>0</v>
      </c>
      <c r="D7" s="10" t="n">
        <f aca="false">SUMIF(Positions!Q:Q,A7,Positions!K:K)</f>
        <v>0</v>
      </c>
      <c r="E7" s="11" t="n">
        <f aca="false">IF(Dashboard!$B$5&gt;0,D7/Dashboard!$B$5,0)</f>
        <v>0</v>
      </c>
      <c r="F7" s="7" t="n">
        <v>0.15</v>
      </c>
      <c r="G7" s="10" t="str">
        <f aca="false">IF(E7&gt;F7,"⚠ BREACH","✓ OK")</f>
        <v>✓ OK</v>
      </c>
      <c r="H7" s="10" t="n">
        <f aca="false">IF(F7&gt;0,E7/F7,0)</f>
        <v>0</v>
      </c>
    </row>
    <row r="8" customFormat="false" ht="15" hidden="false" customHeight="false" outlineLevel="0" collapsed="false">
      <c r="A8" s="7" t="s">
        <v>122</v>
      </c>
      <c r="B8" s="7" t="s">
        <v>123</v>
      </c>
      <c r="C8" s="10" t="n">
        <f aca="false">COUNTIF(Positions!Q:Q,A8)</f>
        <v>0</v>
      </c>
      <c r="D8" s="10" t="n">
        <f aca="false">SUMIF(Positions!Q:Q,A8,Positions!K:K)</f>
        <v>0</v>
      </c>
      <c r="E8" s="11" t="n">
        <f aca="false">IF(Dashboard!$B$5&gt;0,D8/Dashboard!$B$5,0)</f>
        <v>0</v>
      </c>
      <c r="F8" s="7" t="n">
        <v>0.15</v>
      </c>
      <c r="G8" s="10" t="str">
        <f aca="false">IF(E8&gt;F8,"⚠ BREACH","✓ OK")</f>
        <v>✓ OK</v>
      </c>
      <c r="H8" s="10" t="n">
        <f aca="false">IF(F8&gt;0,E8/F8,0)</f>
        <v>0</v>
      </c>
    </row>
    <row r="9" customFormat="false" ht="15" hidden="false" customHeight="false" outlineLevel="0" collapsed="false">
      <c r="A9" s="7" t="s">
        <v>124</v>
      </c>
      <c r="B9" s="7" t="s">
        <v>125</v>
      </c>
      <c r="C9" s="10" t="n">
        <f aca="false">COUNTIF(Positions!Q:Q,A9)</f>
        <v>0</v>
      </c>
      <c r="D9" s="10" t="n">
        <f aca="false">SUMIF(Positions!Q:Q,A9,Positions!K:K)</f>
        <v>0</v>
      </c>
      <c r="E9" s="11" t="n">
        <f aca="false">IF(Dashboard!$B$5&gt;0,D9/Dashboard!$B$5,0)</f>
        <v>0</v>
      </c>
      <c r="F9" s="7" t="n">
        <v>0.1</v>
      </c>
      <c r="G9" s="10" t="str">
        <f aca="false">IF(E9&gt;F9,"⚠ BREACH","✓ OK")</f>
        <v>✓ OK</v>
      </c>
      <c r="H9" s="10" t="n">
        <f aca="false">IF(F9&gt;0,E9/F9,0)</f>
        <v>0</v>
      </c>
    </row>
    <row r="10" customFormat="false" ht="15" hidden="false" customHeight="false" outlineLevel="0" collapsed="false">
      <c r="A10" s="7" t="s">
        <v>126</v>
      </c>
      <c r="B10" s="7" t="s">
        <v>127</v>
      </c>
      <c r="C10" s="10" t="n">
        <f aca="false">COUNTIF(Positions!Q:Q,A10)</f>
        <v>0</v>
      </c>
      <c r="D10" s="10" t="n">
        <f aca="false">SUMIF(Positions!Q:Q,A10,Positions!K:K)</f>
        <v>0</v>
      </c>
      <c r="E10" s="11" t="n">
        <f aca="false">IF(Dashboard!$B$5&gt;0,D10/Dashboard!$B$5,0)</f>
        <v>0</v>
      </c>
      <c r="F10" s="7" t="n">
        <v>0.15</v>
      </c>
      <c r="G10" s="10" t="str">
        <f aca="false">IF(E10&gt;F10,"⚠ BREACH","✓ OK")</f>
        <v>✓ OK</v>
      </c>
      <c r="H10" s="10" t="n">
        <f aca="false">IF(F10&gt;0,E10/F10,0)</f>
        <v>0</v>
      </c>
    </row>
    <row r="11" customFormat="false" ht="15" hidden="false" customHeight="false" outlineLevel="0" collapsed="false">
      <c r="A11" s="7" t="s">
        <v>128</v>
      </c>
      <c r="B11" s="7" t="s">
        <v>129</v>
      </c>
      <c r="C11" s="10" t="n">
        <f aca="false">COUNTIF(Positions!Q:Q,A11)</f>
        <v>0</v>
      </c>
      <c r="D11" s="10" t="n">
        <f aca="false">SUMIF(Positions!Q:Q,A11,Positions!K:K)</f>
        <v>0</v>
      </c>
      <c r="E11" s="11" t="n">
        <f aca="false">IF(Dashboard!$B$5&gt;0,D11/Dashboard!$B$5,0)</f>
        <v>0</v>
      </c>
      <c r="F11" s="7" t="n">
        <v>0.1</v>
      </c>
      <c r="G11" s="10" t="str">
        <f aca="false">IF(E11&gt;F11,"⚠ BREACH","✓ OK")</f>
        <v>✓ OK</v>
      </c>
      <c r="H11" s="10" t="n">
        <f aca="false">IF(F11&gt;0,E11/F11,0)</f>
        <v>0</v>
      </c>
    </row>
    <row r="12" customFormat="false" ht="15" hidden="false" customHeight="false" outlineLevel="0" collapsed="false">
      <c r="A12" s="7" t="s">
        <v>130</v>
      </c>
      <c r="B12" s="7" t="s">
        <v>131</v>
      </c>
      <c r="C12" s="10" t="n">
        <f aca="false">COUNTIF(Positions!Q:Q,A12)</f>
        <v>0</v>
      </c>
      <c r="D12" s="10" t="n">
        <f aca="false">SUMIF(Positions!Q:Q,A12,Positions!K:K)</f>
        <v>0</v>
      </c>
      <c r="E12" s="11" t="n">
        <f aca="false">IF(Dashboard!$B$5&gt;0,D12/Dashboard!$B$5,0)</f>
        <v>0</v>
      </c>
      <c r="F12" s="7" t="n">
        <v>0.1</v>
      </c>
      <c r="G12" s="10" t="str">
        <f aca="false">IF(E12&gt;F12,"⚠ BREACH","✓ OK")</f>
        <v>✓ OK</v>
      </c>
      <c r="H12" s="10" t="n">
        <f aca="false">IF(F12&gt;0,E12/F12,0)</f>
        <v>0</v>
      </c>
    </row>
    <row r="13" customFormat="false" ht="15" hidden="false" customHeight="false" outlineLevel="0" collapsed="false">
      <c r="A13" s="7" t="s">
        <v>132</v>
      </c>
      <c r="B13" s="7" t="s">
        <v>133</v>
      </c>
      <c r="C13" s="10" t="n">
        <f aca="false">COUNTIF(Positions!Q:Q,A13)</f>
        <v>0</v>
      </c>
      <c r="D13" s="10" t="n">
        <f aca="false">SUMIF(Positions!Q:Q,A13,Positions!K:K)</f>
        <v>0</v>
      </c>
      <c r="E13" s="11" t="n">
        <f aca="false">IF(Dashboard!$B$5&gt;0,D13/Dashboard!$B$5,0)</f>
        <v>0</v>
      </c>
      <c r="F13" s="7" t="n">
        <v>0.1</v>
      </c>
      <c r="G13" s="10" t="str">
        <f aca="false">IF(E13&gt;F13,"⚠ BREACH","✓ OK")</f>
        <v>✓ OK</v>
      </c>
      <c r="H13" s="10" t="n">
        <f aca="false">IF(F13&gt;0,E13/F13,0)</f>
        <v>0</v>
      </c>
    </row>
    <row r="16" customFormat="false" ht="15" hidden="false" customHeight="false" outlineLevel="0" collapsed="false">
      <c r="A16" s="14" t="s">
        <v>134</v>
      </c>
    </row>
    <row r="17" customFormat="false" ht="15" hidden="false" customHeight="false" outlineLevel="0" collapsed="false">
      <c r="A17" s="0" t="s">
        <v>135</v>
      </c>
    </row>
    <row r="18" customFormat="false" ht="15" hidden="false" customHeight="false" outlineLevel="0" collapsed="false">
      <c r="A18" s="3" t="s">
        <v>136</v>
      </c>
      <c r="B18" s="3" t="s">
        <v>137</v>
      </c>
      <c r="C18" s="3" t="s">
        <v>138</v>
      </c>
      <c r="D18" s="3" t="s">
        <v>32</v>
      </c>
      <c r="E18" s="3" t="s">
        <v>46</v>
      </c>
    </row>
  </sheetData>
  <dataValidations count="1">
    <dataValidation allowBlank="false" errorStyle="stop" operator="between" showDropDown="false" showErrorMessage="false" showInputMessage="false" sqref="C19:C30" type="list">
      <formula1>"High (+),Medium (+),Low (+),High (-),Medium (-),Low (-)"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5"/>
  </cols>
  <sheetData>
    <row r="1" customFormat="false" ht="17.35" hidden="false" customHeight="false" outlineLevel="0" collapsed="false">
      <c r="A1" s="8" t="s">
        <v>139</v>
      </c>
    </row>
    <row r="3" customFormat="false" ht="15" hidden="false" customHeight="false" outlineLevel="0" collapsed="false">
      <c r="A3" s="14" t="s">
        <v>140</v>
      </c>
    </row>
    <row r="4" customFormat="false" ht="15" hidden="false" customHeight="false" outlineLevel="0" collapsed="false">
      <c r="A4" s="3" t="s">
        <v>141</v>
      </c>
      <c r="B4" s="3" t="s">
        <v>142</v>
      </c>
      <c r="C4" s="3" t="s">
        <v>143</v>
      </c>
      <c r="D4" s="3" t="s">
        <v>114</v>
      </c>
      <c r="E4" s="3" t="s">
        <v>5</v>
      </c>
      <c r="F4" s="3" t="s">
        <v>144</v>
      </c>
    </row>
    <row r="5" customFormat="false" ht="15" hidden="false" customHeight="false" outlineLevel="0" collapsed="false">
      <c r="A5" s="0" t="s">
        <v>10</v>
      </c>
      <c r="B5" s="7" t="n">
        <v>0.1</v>
      </c>
      <c r="C5" s="10" t="n">
        <f aca="false">MAX(Positions!L3:L102)</f>
        <v>0.021</v>
      </c>
      <c r="D5" s="10" t="n">
        <f aca="false">IF(B5&gt;0,C5/B5,0)</f>
        <v>0.21</v>
      </c>
      <c r="E5" s="10" t="str">
        <f aca="false">IF(D5&gt;1,"⚠ BREACH",IF(D5&gt;0.8,"⚡ WARNING","✓ OK"))</f>
        <v>✓ OK</v>
      </c>
      <c r="F5" s="10" t="str">
        <f aca="false">IF(D5&gt;1,"REDUCE IMMEDIATELY",IF(D5&gt;0.8,"Monitor closely",""))</f>
        <v/>
      </c>
    </row>
    <row r="6" customFormat="false" ht="15" hidden="false" customHeight="false" outlineLevel="0" collapsed="false">
      <c r="A6" s="0" t="s">
        <v>11</v>
      </c>
      <c r="B6" s="7" t="n">
        <v>0.25</v>
      </c>
      <c r="C6" s="10" t="n">
        <f aca="false">MAX(Correlations!E4:E13)</f>
        <v>0.021</v>
      </c>
      <c r="D6" s="10" t="n">
        <f aca="false">IF(B6&gt;0,C6/B6,0)</f>
        <v>0.084</v>
      </c>
      <c r="E6" s="10" t="str">
        <f aca="false">IF(D6&gt;1,"⚠ BREACH",IF(D6&gt;0.8,"⚡ WARNING","✓ OK"))</f>
        <v>✓ OK</v>
      </c>
      <c r="F6" s="10" t="str">
        <f aca="false">IF(D6&gt;1,"REDUCE IMMEDIATELY",IF(D6&gt;0.8,"Monitor closely",""))</f>
        <v/>
      </c>
    </row>
    <row r="7" customFormat="false" ht="15" hidden="false" customHeight="false" outlineLevel="0" collapsed="false">
      <c r="A7" s="0" t="s">
        <v>145</v>
      </c>
      <c r="B7" s="7" t="n">
        <v>0.9</v>
      </c>
      <c r="C7" s="10" t="n">
        <f aca="false">Dashboard!B6/Dashboard!B5</f>
        <v>0.021</v>
      </c>
      <c r="D7" s="10" t="n">
        <f aca="false">IF(B7&gt;0,C7/B7,0)</f>
        <v>0.0233333333333333</v>
      </c>
      <c r="E7" s="10" t="str">
        <f aca="false">IF(D7&gt;1,"⚠ BREACH",IF(D7&gt;0.8,"⚡ WARNING","✓ OK"))</f>
        <v>✓ OK</v>
      </c>
      <c r="F7" s="10" t="str">
        <f aca="false">IF(D7&gt;1,"REDUCE IMMEDIATELY",IF(D7&gt;0.8,"Monitor closely",""))</f>
        <v/>
      </c>
    </row>
    <row r="8" customFormat="false" ht="15" hidden="false" customHeight="false" outlineLevel="0" collapsed="false">
      <c r="A8" s="0" t="s">
        <v>146</v>
      </c>
      <c r="B8" s="7" t="n">
        <v>0.1</v>
      </c>
      <c r="C8" s="10" t="n">
        <f aca="false">Dashboard!B7/Dashboard!B5</f>
        <v>0.979</v>
      </c>
      <c r="D8" s="10" t="n">
        <f aca="false">IF(B8&gt;0,C8/B8,0)</f>
        <v>9.79</v>
      </c>
      <c r="E8" s="10" t="str">
        <f aca="false">IF(D8&gt;1,"⚠ BREACH",IF(D8&gt;0.8,"⚡ WARNING","✓ OK"))</f>
        <v>⚠ BREACH</v>
      </c>
      <c r="F8" s="10" t="str">
        <f aca="false">IF(D8&gt;1,"REDUCE IMMEDIATELY",IF(D8&gt;0.8,"Monitor closely",""))</f>
        <v>REDUCE IMMEDIATELY</v>
      </c>
    </row>
    <row r="9" customFormat="false" ht="15" hidden="false" customHeight="false" outlineLevel="0" collapsed="false">
      <c r="A9" s="0" t="s">
        <v>147</v>
      </c>
      <c r="B9" s="7" t="n">
        <v>20</v>
      </c>
      <c r="C9" s="10" t="n">
        <f aca="false">Dashboard!B8</f>
        <v>-98</v>
      </c>
      <c r="D9" s="10" t="n">
        <f aca="false">IF(B9&gt;0,C9/B9,0)</f>
        <v>-4.9</v>
      </c>
      <c r="E9" s="10" t="str">
        <f aca="false">IF(D9&gt;1,"⚠ BREACH",IF(D9&gt;0.8,"⚡ WARNING","✓ OK"))</f>
        <v>✓ OK</v>
      </c>
      <c r="F9" s="10" t="str">
        <f aca="false">IF(D9&gt;1,"REDUCE IMMEDIATELY",IF(D9&gt;0.8,"Monitor closely",""))</f>
        <v/>
      </c>
    </row>
    <row r="10" customFormat="false" ht="15" hidden="false" customHeight="false" outlineLevel="0" collapsed="false">
      <c r="A10" s="0" t="s">
        <v>148</v>
      </c>
      <c r="B10" s="7" t="n">
        <v>5</v>
      </c>
      <c r="C10" s="10" t="n">
        <f aca="false">MAX(Correlations!C4:C13)</f>
        <v>1</v>
      </c>
      <c r="D10" s="10" t="n">
        <f aca="false">IF(B10&gt;0,C10/B10,0)</f>
        <v>0.2</v>
      </c>
      <c r="E10" s="10" t="str">
        <f aca="false">IF(D10&gt;1,"⚠ BREACH",IF(D10&gt;0.8,"⚡ WARNING","✓ OK"))</f>
        <v>✓ OK</v>
      </c>
      <c r="F10" s="10" t="str">
        <f aca="false">IF(D10&gt;1,"REDUCE IMMEDIATELY",IF(D10&gt;0.8,"Monitor closely",""))</f>
        <v/>
      </c>
    </row>
    <row r="11" customFormat="false" ht="15" hidden="false" customHeight="false" outlineLevel="0" collapsed="false">
      <c r="A11" s="0" t="s">
        <v>149</v>
      </c>
      <c r="B11" s="7" t="n">
        <v>0.5</v>
      </c>
      <c r="C11" s="10" t="n">
        <f aca="true">SUMPRODUCT(Positions!K3:K102,1/(Positions!I3:I102-TODAY()+1))/Dashboard!B5</f>
        <v>2.07100591715976E-005</v>
      </c>
      <c r="D11" s="10" t="n">
        <f aca="false">IF(B11&gt;0,C11/B11,0)</f>
        <v>4.14201183431953E-005</v>
      </c>
      <c r="E11" s="10" t="str">
        <f aca="false">IF(D11&gt;1,"⚠ BREACH",IF(D11&gt;0.8,"⚡ WARNING","✓ OK"))</f>
        <v>✓ OK</v>
      </c>
      <c r="F11" s="10" t="str">
        <f aca="false">IF(D11&gt;1,"REDUCE IMMEDIATELY",IF(D11&gt;0.8,"Monitor closely",""))</f>
        <v/>
      </c>
    </row>
    <row r="14" customFormat="false" ht="15" hidden="false" customHeight="false" outlineLevel="0" collapsed="false">
      <c r="A14" s="14" t="s">
        <v>150</v>
      </c>
    </row>
    <row r="15" customFormat="false" ht="15" hidden="false" customHeight="false" outlineLevel="0" collapsed="false">
      <c r="A15" s="3" t="s">
        <v>151</v>
      </c>
      <c r="B15" s="3" t="s">
        <v>152</v>
      </c>
      <c r="C15" s="3" t="s">
        <v>153</v>
      </c>
      <c r="D15" s="3" t="s">
        <v>154</v>
      </c>
      <c r="E15" s="3" t="s">
        <v>155</v>
      </c>
    </row>
    <row r="16" customFormat="false" ht="15" hidden="false" customHeight="false" outlineLevel="0" collapsed="false">
      <c r="A16" s="0" t="s">
        <v>156</v>
      </c>
      <c r="B16" s="7" t="n">
        <v>0.05</v>
      </c>
      <c r="C16" s="12" t="s">
        <v>157</v>
      </c>
      <c r="D16" s="11" t="n">
        <f aca="false">Dashboard!B11</f>
        <v>0.00497512437810945</v>
      </c>
      <c r="E16" s="10" t="str">
        <f aca="false">IF(D16&gt;=B16,"YES","NO")</f>
        <v>NO</v>
      </c>
    </row>
    <row r="17" customFormat="false" ht="15" hidden="false" customHeight="false" outlineLevel="0" collapsed="false">
      <c r="A17" s="0" t="s">
        <v>158</v>
      </c>
      <c r="B17" s="7" t="n">
        <v>0.1</v>
      </c>
      <c r="C17" s="12" t="s">
        <v>159</v>
      </c>
      <c r="D17" s="11" t="n">
        <f aca="false">Dashboard!B11</f>
        <v>0.00497512437810945</v>
      </c>
      <c r="E17" s="10" t="str">
        <f aca="false">IF(D17&gt;=B17,"YES","NO")</f>
        <v>NO</v>
      </c>
    </row>
    <row r="18" customFormat="false" ht="15" hidden="false" customHeight="false" outlineLevel="0" collapsed="false">
      <c r="A18" s="0" t="s">
        <v>160</v>
      </c>
      <c r="B18" s="7" t="n">
        <v>0.15</v>
      </c>
      <c r="C18" s="12" t="s">
        <v>161</v>
      </c>
      <c r="D18" s="11" t="n">
        <f aca="false">Dashboard!B11</f>
        <v>0.00497512437810945</v>
      </c>
      <c r="E18" s="10" t="str">
        <f aca="false">IF(D18&gt;=B18,"YES","NO")</f>
        <v>NO</v>
      </c>
    </row>
    <row r="19" customFormat="false" ht="15" hidden="false" customHeight="false" outlineLevel="0" collapsed="false">
      <c r="A19" s="0" t="s">
        <v>162</v>
      </c>
      <c r="B19" s="7" t="n">
        <v>0.2</v>
      </c>
      <c r="C19" s="12" t="s">
        <v>163</v>
      </c>
      <c r="D19" s="11" t="n">
        <f aca="false">Dashboard!B11</f>
        <v>0.00497512437810945</v>
      </c>
      <c r="E19" s="10" t="str">
        <f aca="false">IF(D19&gt;=B19,"YES","NO")</f>
        <v>NO</v>
      </c>
    </row>
    <row r="22" customFormat="false" ht="15" hidden="false" customHeight="false" outlineLevel="0" collapsed="false">
      <c r="A22" s="14" t="s">
        <v>164</v>
      </c>
    </row>
    <row r="23" customFormat="false" ht="15" hidden="false" customHeight="false" outlineLevel="0" collapsed="false">
      <c r="A23" s="0" t="s">
        <v>165</v>
      </c>
    </row>
    <row r="24" customFormat="false" ht="15" hidden="false" customHeight="false" outlineLevel="0" collapsed="false">
      <c r="A24" s="0" t="n">
        <f aca="false">SUMPRODUCT((Positions!N3:N102&lt;-0.5)*1)</f>
        <v>0</v>
      </c>
    </row>
    <row r="25" customFormat="false" ht="15" hidden="false" customHeight="false" outlineLevel="0" collapsed="false">
      <c r="A25" s="0" t="s">
        <v>166</v>
      </c>
    </row>
    <row r="26" customFormat="false" ht="15" hidden="false" customHeight="false" outlineLevel="0" collapsed="false">
      <c r="A26" s="0" t="n">
        <f aca="false">SUMPRODUCT((ABS(Positions!F3:F102)&lt;0.02)*(Positions!K3:K102&gt;0)*1)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8"/>
  </cols>
  <sheetData>
    <row r="1" customFormat="false" ht="17.35" hidden="false" customHeight="false" outlineLevel="0" collapsed="false">
      <c r="A1" s="8" t="s">
        <v>167</v>
      </c>
    </row>
    <row r="3" customFormat="false" ht="15" hidden="false" customHeight="false" outlineLevel="0" collapsed="false">
      <c r="A3" s="14" t="s">
        <v>168</v>
      </c>
    </row>
    <row r="4" customFormat="false" ht="15" hidden="false" customHeight="false" outlineLevel="0" collapsed="false">
      <c r="A4" s="3" t="s">
        <v>169</v>
      </c>
      <c r="B4" s="3" t="s">
        <v>109</v>
      </c>
      <c r="C4" s="3" t="s">
        <v>50</v>
      </c>
      <c r="D4" s="3" t="s">
        <v>116</v>
      </c>
      <c r="E4" s="3" t="s">
        <v>118</v>
      </c>
      <c r="F4" s="3" t="s">
        <v>120</v>
      </c>
      <c r="G4" s="3" t="s">
        <v>122</v>
      </c>
      <c r="H4" s="3" t="s">
        <v>170</v>
      </c>
    </row>
    <row r="5" customFormat="false" ht="15" hidden="false" customHeight="false" outlineLevel="0" collapsed="false">
      <c r="A5" s="0" t="s">
        <v>171</v>
      </c>
      <c r="B5" s="0" t="s">
        <v>172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0.6</v>
      </c>
    </row>
    <row r="6" customFormat="false" ht="15" hidden="false" customHeight="false" outlineLevel="0" collapsed="false">
      <c r="A6" s="0" t="s">
        <v>173</v>
      </c>
      <c r="B6" s="0" t="s">
        <v>174</v>
      </c>
      <c r="C6" s="7" t="n">
        <v>-0.2</v>
      </c>
      <c r="D6" s="7" t="n">
        <v>-0.05</v>
      </c>
      <c r="E6" s="7" t="n">
        <v>-0.1</v>
      </c>
      <c r="F6" s="7" t="n">
        <v>0</v>
      </c>
      <c r="G6" s="7" t="n">
        <v>0</v>
      </c>
      <c r="H6" s="7" t="n">
        <v>0.1</v>
      </c>
    </row>
    <row r="7" customFormat="false" ht="15" hidden="false" customHeight="false" outlineLevel="0" collapsed="false">
      <c r="A7" s="0" t="s">
        <v>175</v>
      </c>
      <c r="B7" s="0" t="s">
        <v>176</v>
      </c>
      <c r="C7" s="7" t="n">
        <v>0</v>
      </c>
      <c r="D7" s="7" t="n">
        <v>-0.4</v>
      </c>
      <c r="E7" s="7" t="n">
        <v>-0.05</v>
      </c>
      <c r="F7" s="7" t="n">
        <v>-0.1</v>
      </c>
      <c r="G7" s="7" t="n">
        <v>0</v>
      </c>
      <c r="H7" s="7" t="n">
        <v>0.08</v>
      </c>
    </row>
    <row r="8" customFormat="false" ht="15" hidden="false" customHeight="false" outlineLevel="0" collapsed="false">
      <c r="A8" s="0" t="s">
        <v>177</v>
      </c>
      <c r="B8" s="0" t="s">
        <v>178</v>
      </c>
      <c r="C8" s="7" t="n">
        <v>-0.05</v>
      </c>
      <c r="D8" s="7" t="n">
        <v>-0.15</v>
      </c>
      <c r="E8" s="7" t="n">
        <v>-0.25</v>
      </c>
      <c r="F8" s="7" t="n">
        <v>-0.1</v>
      </c>
      <c r="G8" s="7" t="n">
        <v>0</v>
      </c>
      <c r="H8" s="7" t="n">
        <v>0.07</v>
      </c>
    </row>
    <row r="9" customFormat="false" ht="15" hidden="false" customHeight="false" outlineLevel="0" collapsed="false">
      <c r="A9" s="0" t="s">
        <v>179</v>
      </c>
      <c r="B9" s="0" t="s">
        <v>180</v>
      </c>
      <c r="C9" s="7" t="n">
        <v>-0.15</v>
      </c>
      <c r="D9" s="7" t="n">
        <v>-0.2</v>
      </c>
      <c r="E9" s="7" t="n">
        <v>-0.15</v>
      </c>
      <c r="F9" s="7" t="n">
        <v>-0.15</v>
      </c>
      <c r="G9" s="7" t="n">
        <v>-0.05</v>
      </c>
      <c r="H9" s="7" t="n">
        <v>0.05</v>
      </c>
    </row>
    <row r="10" customFormat="false" ht="15" hidden="false" customHeight="false" outlineLevel="0" collapsed="false">
      <c r="A10" s="0" t="s">
        <v>181</v>
      </c>
      <c r="B10" s="0" t="s">
        <v>182</v>
      </c>
      <c r="C10" s="7" t="n">
        <v>-0.3</v>
      </c>
      <c r="D10" s="7" t="n">
        <v>-0.3</v>
      </c>
      <c r="E10" s="7" t="n">
        <v>-0.3</v>
      </c>
      <c r="F10" s="7" t="n">
        <v>-0.3</v>
      </c>
      <c r="G10" s="7" t="n">
        <v>-0.3</v>
      </c>
      <c r="H10" s="7" t="n">
        <v>0.02</v>
      </c>
    </row>
    <row r="11" customFormat="false" ht="15" hidden="false" customHeight="false" outlineLevel="0" collapsed="false">
      <c r="A11" s="0" t="s">
        <v>183</v>
      </c>
      <c r="B11" s="0" t="s">
        <v>184</v>
      </c>
      <c r="C11" s="7" t="n">
        <v>0.1</v>
      </c>
      <c r="D11" s="7" t="n">
        <v>0.15</v>
      </c>
      <c r="E11" s="7" t="n">
        <v>0.05</v>
      </c>
      <c r="F11" s="7" t="n">
        <v>0.1</v>
      </c>
      <c r="G11" s="7" t="n">
        <v>0</v>
      </c>
      <c r="H11" s="7" t="n">
        <v>0.08</v>
      </c>
    </row>
    <row r="14" customFormat="false" ht="15" hidden="false" customHeight="false" outlineLevel="0" collapsed="false">
      <c r="A14" s="14" t="s">
        <v>185</v>
      </c>
    </row>
    <row r="15" customFormat="false" ht="15" hidden="false" customHeight="false" outlineLevel="0" collapsed="false">
      <c r="A15" s="3" t="s">
        <v>169</v>
      </c>
      <c r="B15" s="3" t="s">
        <v>186</v>
      </c>
      <c r="C15" s="3" t="s">
        <v>41</v>
      </c>
      <c r="D15" s="3" t="s">
        <v>187</v>
      </c>
      <c r="E15" s="3" t="s">
        <v>188</v>
      </c>
    </row>
    <row r="16" customFormat="false" ht="15" hidden="false" customHeight="false" outlineLevel="0" collapsed="false">
      <c r="A16" s="0" t="str">
        <f aca="false">A5</f>
        <v>Base Case</v>
      </c>
      <c r="B16" s="10" t="n">
        <f aca="false">Correlations!$D$4*C5+Correlations!$D$5*D5+Correlations!$D$6*E5+Correlations!$D$7*F5+Correlations!$D$8*G5</f>
        <v>0</v>
      </c>
      <c r="C16" s="10" t="n">
        <f aca="false">IF(Dashboard!$B$5&gt;0,B16/Dashboard!$B$5,0)</f>
        <v>0</v>
      </c>
      <c r="D16" s="7"/>
      <c r="E16" s="10" t="str">
        <f aca="false">IF(ABS(C16)&lt;0.2,"✓ YES","⚠ NO")</f>
        <v>✓ YES</v>
      </c>
    </row>
    <row r="17" customFormat="false" ht="15" hidden="false" customHeight="false" outlineLevel="0" collapsed="false">
      <c r="A17" s="0" t="str">
        <f aca="false">A6</f>
        <v>Political Shock</v>
      </c>
      <c r="B17" s="10" t="n">
        <f aca="false">Correlations!$D$4*C6+Correlations!$D$5*D6+Correlations!$D$6*E6+Correlations!$D$7*F6+Correlations!$D$8*G6</f>
        <v>-42</v>
      </c>
      <c r="C17" s="10" t="n">
        <f aca="false">IF(Dashboard!$B$5&gt;0,B17/Dashboard!$B$5,0)</f>
        <v>-0.0042</v>
      </c>
      <c r="D17" s="7"/>
      <c r="E17" s="10" t="str">
        <f aca="false">IF(ABS(C17)&lt;0.2,"✓ YES","⚠ NO")</f>
        <v>✓ YES</v>
      </c>
    </row>
    <row r="18" customFormat="false" ht="15" hidden="false" customHeight="false" outlineLevel="0" collapsed="false">
      <c r="A18" s="0" t="str">
        <f aca="false">A7</f>
        <v>Crypto Crash</v>
      </c>
      <c r="B18" s="10" t="n">
        <f aca="false">Correlations!$D$4*C7+Correlations!$D$5*D7+Correlations!$D$6*E7+Correlations!$D$7*F7+Correlations!$D$8*G7</f>
        <v>0</v>
      </c>
      <c r="C18" s="10" t="n">
        <f aca="false">IF(Dashboard!$B$5&gt;0,B18/Dashboard!$B$5,0)</f>
        <v>0</v>
      </c>
      <c r="D18" s="7"/>
      <c r="E18" s="10" t="str">
        <f aca="false">IF(ABS(C18)&lt;0.2,"✓ YES","⚠ NO")</f>
        <v>✓ YES</v>
      </c>
    </row>
    <row r="19" customFormat="false" ht="15" hidden="false" customHeight="false" outlineLevel="0" collapsed="false">
      <c r="A19" s="0" t="str">
        <f aca="false">A8</f>
        <v>Fed Surprise</v>
      </c>
      <c r="B19" s="10" t="n">
        <f aca="false">Correlations!$D$4*C8+Correlations!$D$5*D8+Correlations!$D$6*E8+Correlations!$D$7*F8+Correlations!$D$8*G8</f>
        <v>-10.5</v>
      </c>
      <c r="C19" s="10" t="n">
        <f aca="false">IF(Dashboard!$B$5&gt;0,B19/Dashboard!$B$5,0)</f>
        <v>-0.00105</v>
      </c>
      <c r="D19" s="7"/>
      <c r="E19" s="10" t="str">
        <f aca="false">IF(ABS(C19)&lt;0.2,"✓ YES","⚠ NO")</f>
        <v>✓ YES</v>
      </c>
    </row>
    <row r="20" customFormat="false" ht="15" hidden="false" customHeight="false" outlineLevel="0" collapsed="false">
      <c r="A20" s="0" t="str">
        <f aca="false">A9</f>
        <v>Black Swan</v>
      </c>
      <c r="B20" s="10" t="n">
        <f aca="false">Correlations!$D$4*C9+Correlations!$D$5*D9+Correlations!$D$6*E9+Correlations!$D$7*F9+Correlations!$D$8*G9</f>
        <v>-31.5</v>
      </c>
      <c r="C20" s="10" t="n">
        <f aca="false">IF(Dashboard!$B$5&gt;0,B20/Dashboard!$B$5,0)</f>
        <v>-0.00315</v>
      </c>
      <c r="D20" s="7"/>
      <c r="E20" s="10" t="str">
        <f aca="false">IF(ABS(C20)&lt;0.2,"✓ YES","⚠ NO")</f>
        <v>✓ YES</v>
      </c>
    </row>
    <row r="21" customFormat="false" ht="15" hidden="false" customHeight="false" outlineLevel="0" collapsed="false">
      <c r="A21" s="0" t="str">
        <f aca="false">A10</f>
        <v>All Wrong</v>
      </c>
      <c r="B21" s="10" t="n">
        <f aca="false">Correlations!$D$4*C10+Correlations!$D$5*D10+Correlations!$D$6*E10+Correlations!$D$7*F10+Correlations!$D$8*G10</f>
        <v>-63</v>
      </c>
      <c r="C21" s="10" t="n">
        <f aca="false">IF(Dashboard!$B$5&gt;0,B21/Dashboard!$B$5,0)</f>
        <v>-0.0063</v>
      </c>
      <c r="D21" s="7"/>
      <c r="E21" s="10" t="str">
        <f aca="false">IF(ABS(C21)&lt;0.2,"✓ YES","⚠ NO")</f>
        <v>✓ YES</v>
      </c>
    </row>
    <row r="22" customFormat="false" ht="15" hidden="false" customHeight="false" outlineLevel="0" collapsed="false">
      <c r="A22" s="0" t="str">
        <f aca="false">A11</f>
        <v>Recovery Rally</v>
      </c>
      <c r="B22" s="10" t="n">
        <f aca="false">Correlations!$D$4*C11+Correlations!$D$5*D11+Correlations!$D$6*E11+Correlations!$D$7*F11+Correlations!$D$8*G11</f>
        <v>21</v>
      </c>
      <c r="C22" s="10" t="n">
        <f aca="false">IF(Dashboard!$B$5&gt;0,B22/Dashboard!$B$5,0)</f>
        <v>0.0021</v>
      </c>
      <c r="D22" s="7"/>
      <c r="E22" s="10" t="str">
        <f aca="false">IF(ABS(C22)&lt;0.2,"✓ YES","⚠ NO")</f>
        <v>✓ YES</v>
      </c>
    </row>
    <row r="24" customFormat="false" ht="15" hidden="false" customHeight="false" outlineLevel="0" collapsed="false">
      <c r="A24" s="14" t="s">
        <v>189</v>
      </c>
    </row>
    <row r="25" customFormat="false" ht="15" hidden="false" customHeight="false" outlineLevel="0" collapsed="false">
      <c r="A25" s="0" t="n">
        <f aca="false">SUMPRODUCT(B16:B22,H5:H11)</f>
        <v>-6.09</v>
      </c>
      <c r="B25" s="0" t="n">
        <f aca="false">A25/Dashboard!B5</f>
        <v>-0.000609</v>
      </c>
    </row>
    <row r="26" customFormat="false" ht="15" hidden="false" customHeight="false" outlineLevel="0" collapsed="false">
      <c r="A26" s="0" t="s">
        <v>190</v>
      </c>
    </row>
    <row r="27" customFormat="false" ht="15" hidden="false" customHeight="false" outlineLevel="0" collapsed="false">
      <c r="A27" s="0" t="n">
        <f aca="false">PERCENTILE(B16:B22,0.05)</f>
        <v>-56.7</v>
      </c>
    </row>
    <row r="30" customFormat="false" ht="15" hidden="false" customHeight="false" outlineLevel="0" collapsed="false">
      <c r="A30" s="14" t="s">
        <v>191</v>
      </c>
    </row>
    <row r="31" customFormat="false" ht="15" hidden="false" customHeight="false" outlineLevel="0" collapsed="false">
      <c r="A31" s="0" t="s">
        <v>192</v>
      </c>
    </row>
    <row r="32" customFormat="false" ht="15" hidden="false" customHeight="false" outlineLevel="0" collapsed="false">
      <c r="A32" s="0" t="s">
        <v>193</v>
      </c>
      <c r="B32" s="0" t="n">
        <f aca="false">IF(Dashboard!B6&gt;0,-0.2*Dashboard!B5/Dashboard!B6,0)</f>
        <v>-9.52380952380952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35"/>
  </cols>
  <sheetData>
    <row r="1" customFormat="false" ht="17.35" hidden="false" customHeight="false" outlineLevel="0" collapsed="false">
      <c r="A1" s="8" t="s">
        <v>194</v>
      </c>
    </row>
    <row r="3" customFormat="false" ht="15" hidden="false" customHeight="false" outlineLevel="0" collapsed="false">
      <c r="A3" s="15" t="s">
        <v>195</v>
      </c>
    </row>
    <row r="5" customFormat="false" ht="15" hidden="false" customHeight="false" outlineLevel="0" collapsed="false">
      <c r="A5" s="14" t="s">
        <v>196</v>
      </c>
    </row>
    <row r="6" customFormat="false" ht="15" hidden="false" customHeight="false" outlineLevel="0" collapsed="false">
      <c r="A6" s="3" t="s">
        <v>197</v>
      </c>
      <c r="B6" s="3" t="s">
        <v>198</v>
      </c>
      <c r="C6" s="3" t="s">
        <v>199</v>
      </c>
      <c r="D6" s="3" t="s">
        <v>200</v>
      </c>
    </row>
    <row r="7" customFormat="false" ht="15" hidden="false" customHeight="false" outlineLevel="0" collapsed="false">
      <c r="A7" s="0" t="s">
        <v>201</v>
      </c>
      <c r="B7" s="0" t="s">
        <v>202</v>
      </c>
      <c r="C7" s="7"/>
      <c r="D7" s="10" t="str">
        <f aca="false">IF(C7="Yes","✓","✗")</f>
        <v>✗</v>
      </c>
    </row>
    <row r="8" customFormat="false" ht="15" hidden="false" customHeight="false" outlineLevel="0" collapsed="false">
      <c r="A8" s="0" t="s">
        <v>203</v>
      </c>
      <c r="B8" s="0" t="s">
        <v>204</v>
      </c>
      <c r="C8" s="7"/>
      <c r="D8" s="7"/>
    </row>
    <row r="9" customFormat="false" ht="15" hidden="false" customHeight="false" outlineLevel="0" collapsed="false">
      <c r="A9" s="0" t="s">
        <v>205</v>
      </c>
      <c r="B9" s="0" t="s">
        <v>206</v>
      </c>
      <c r="C9" s="7"/>
      <c r="D9" s="10" t="str">
        <f aca="false">IF(C9="Yes","✓","✗")</f>
        <v>✗</v>
      </c>
    </row>
    <row r="10" customFormat="false" ht="15" hidden="false" customHeight="false" outlineLevel="0" collapsed="false">
      <c r="A10" s="0" t="s">
        <v>207</v>
      </c>
      <c r="B10" s="0" t="s">
        <v>208</v>
      </c>
      <c r="C10" s="7"/>
      <c r="D10" s="10" t="str">
        <f aca="false">IF(C10="Yes","✓","✗")</f>
        <v>✗</v>
      </c>
    </row>
    <row r="11" customFormat="false" ht="15" hidden="false" customHeight="false" outlineLevel="0" collapsed="false">
      <c r="A11" s="0" t="s">
        <v>209</v>
      </c>
      <c r="B11" s="0" t="s">
        <v>210</v>
      </c>
      <c r="C11" s="7"/>
      <c r="D11" s="10" t="str">
        <f aca="false">IF(C11="Yes","✓","✗")</f>
        <v>✗</v>
      </c>
    </row>
    <row r="12" customFormat="false" ht="15" hidden="false" customHeight="false" outlineLevel="0" collapsed="false">
      <c r="A12" s="0" t="s">
        <v>211</v>
      </c>
      <c r="B12" s="0" t="s">
        <v>212</v>
      </c>
      <c r="C12" s="7"/>
      <c r="D12" s="10" t="str">
        <f aca="false">IF(C12="Yes","✓","✗")</f>
        <v>✗</v>
      </c>
    </row>
    <row r="13" customFormat="false" ht="15" hidden="false" customHeight="false" outlineLevel="0" collapsed="false">
      <c r="A13" s="0" t="s">
        <v>213</v>
      </c>
      <c r="B13" s="0" t="s">
        <v>214</v>
      </c>
      <c r="C13" s="7"/>
      <c r="D13" s="7"/>
    </row>
    <row r="14" customFormat="false" ht="15" hidden="false" customHeight="false" outlineLevel="0" collapsed="false">
      <c r="A14" s="0" t="s">
        <v>215</v>
      </c>
      <c r="B14" s="0" t="s">
        <v>216</v>
      </c>
      <c r="C14" s="7"/>
      <c r="D14" s="10" t="str">
        <f aca="false">IF(C14="Yes","✓","✗")</f>
        <v>✗</v>
      </c>
    </row>
    <row r="15" customFormat="false" ht="15" hidden="false" customHeight="false" outlineLevel="0" collapsed="false">
      <c r="A15" s="0" t="s">
        <v>217</v>
      </c>
      <c r="B15" s="0" t="s">
        <v>218</v>
      </c>
      <c r="C15" s="7"/>
      <c r="D15" s="7"/>
    </row>
    <row r="16" customFormat="false" ht="15" hidden="false" customHeight="false" outlineLevel="0" collapsed="false">
      <c r="A16" s="0" t="s">
        <v>219</v>
      </c>
      <c r="B16" s="0" t="s">
        <v>220</v>
      </c>
      <c r="C16" s="7"/>
      <c r="D16" s="7"/>
    </row>
    <row r="17" customFormat="false" ht="15" hidden="false" customHeight="false" outlineLevel="0" collapsed="false">
      <c r="A17" s="0" t="s">
        <v>221</v>
      </c>
      <c r="B17" s="0" t="s">
        <v>222</v>
      </c>
      <c r="C17" s="7"/>
      <c r="D17" s="10" t="str">
        <f aca="false">IF(C17="Yes","✓","✗")</f>
        <v>✗</v>
      </c>
    </row>
    <row r="18" customFormat="false" ht="15" hidden="false" customHeight="false" outlineLevel="0" collapsed="false">
      <c r="A18" s="0" t="s">
        <v>223</v>
      </c>
      <c r="B18" s="0" t="s">
        <v>224</v>
      </c>
      <c r="C18" s="7"/>
      <c r="D18" s="7"/>
    </row>
    <row r="20" customFormat="false" ht="15" hidden="false" customHeight="false" outlineLevel="0" collapsed="false">
      <c r="A20" s="14" t="s">
        <v>225</v>
      </c>
    </row>
    <row r="21" customFormat="false" ht="15" hidden="false" customHeight="false" outlineLevel="0" collapsed="false">
      <c r="A21" s="0" t="s">
        <v>226</v>
      </c>
      <c r="B21" s="0" t="n">
        <f aca="false">COUNTIF(D7:D18,"✓")</f>
        <v>0</v>
      </c>
    </row>
    <row r="22" customFormat="false" ht="15" hidden="false" customHeight="false" outlineLevel="0" collapsed="false">
      <c r="A22" s="0" t="s">
        <v>227</v>
      </c>
      <c r="B22" s="0" t="n">
        <f aca="false">COUNTIF(D7:D18,"✗")</f>
        <v>7</v>
      </c>
    </row>
    <row r="23" customFormat="false" ht="15" hidden="false" customHeight="false" outlineLevel="0" collapsed="false">
      <c r="A23" s="0" t="s">
        <v>228</v>
      </c>
      <c r="B23" s="0" t="str">
        <f aca="false">IF(B22&gt;0,"⚠ NO-GO - Review failed checks","✓ PROCEED")</f>
        <v>⚠ NO-GO - Review failed checks</v>
      </c>
    </row>
    <row r="26" customFormat="false" ht="15" hidden="false" customHeight="false" outlineLevel="0" collapsed="false">
      <c r="A26" s="14" t="s">
        <v>229</v>
      </c>
    </row>
    <row r="27" customFormat="false" ht="15" hidden="false" customHeight="false" outlineLevel="0" collapsed="false">
      <c r="A27" s="3" t="s">
        <v>197</v>
      </c>
      <c r="B27" s="3" t="s">
        <v>198</v>
      </c>
      <c r="C27" s="3" t="s">
        <v>199</v>
      </c>
    </row>
    <row r="28" customFormat="false" ht="15" hidden="false" customHeight="false" outlineLevel="0" collapsed="false">
      <c r="A28" s="0" t="s">
        <v>230</v>
      </c>
      <c r="B28" s="0" t="s">
        <v>231</v>
      </c>
      <c r="C28" s="7"/>
    </row>
    <row r="29" customFormat="false" ht="15" hidden="false" customHeight="false" outlineLevel="0" collapsed="false">
      <c r="A29" s="0" t="s">
        <v>232</v>
      </c>
      <c r="B29" s="0" t="s">
        <v>233</v>
      </c>
      <c r="C29" s="7"/>
    </row>
    <row r="30" customFormat="false" ht="15" hidden="false" customHeight="false" outlineLevel="0" collapsed="false">
      <c r="A30" s="0" t="s">
        <v>234</v>
      </c>
      <c r="B30" s="0" t="s">
        <v>235</v>
      </c>
      <c r="C30" s="7"/>
    </row>
    <row r="31" customFormat="false" ht="15" hidden="false" customHeight="false" outlineLevel="0" collapsed="false">
      <c r="A31" s="0" t="s">
        <v>236</v>
      </c>
      <c r="B31" s="0" t="s">
        <v>237</v>
      </c>
      <c r="C31" s="7"/>
    </row>
    <row r="32" customFormat="false" ht="15" hidden="false" customHeight="false" outlineLevel="0" collapsed="false">
      <c r="A32" s="0" t="s">
        <v>238</v>
      </c>
      <c r="B32" s="0" t="s">
        <v>239</v>
      </c>
      <c r="C32" s="7"/>
    </row>
    <row r="33" customFormat="false" ht="15" hidden="false" customHeight="false" outlineLevel="0" collapsed="false">
      <c r="A33" s="0" t="s">
        <v>240</v>
      </c>
      <c r="B33" s="0" t="s">
        <v>241</v>
      </c>
      <c r="C33" s="7"/>
    </row>
  </sheetData>
  <dataValidations count="1">
    <dataValidation allowBlank="false" errorStyle="stop" operator="between" showDropDown="false" showErrorMessage="false" showInputMessage="false" sqref="C7:C18 C28:C33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8"/>
  </cols>
  <sheetData>
    <row r="1" customFormat="false" ht="17.35" hidden="false" customHeight="false" outlineLevel="0" collapsed="false">
      <c r="A1" s="8" t="s">
        <v>242</v>
      </c>
    </row>
    <row r="3" customFormat="false" ht="15" hidden="false" customHeight="false" outlineLevel="0" collapsed="false">
      <c r="A3" s="14" t="s">
        <v>243</v>
      </c>
    </row>
    <row r="4" customFormat="false" ht="15" hidden="false" customHeight="false" outlineLevel="0" collapsed="false">
      <c r="A4" s="3" t="s">
        <v>244</v>
      </c>
      <c r="B4" s="3" t="s">
        <v>245</v>
      </c>
      <c r="C4" s="3" t="s">
        <v>152</v>
      </c>
      <c r="D4" s="3" t="s">
        <v>246</v>
      </c>
      <c r="E4" s="3" t="s">
        <v>155</v>
      </c>
      <c r="F4" s="3" t="s">
        <v>153</v>
      </c>
    </row>
    <row r="5" customFormat="false" ht="15" hidden="false" customHeight="false" outlineLevel="0" collapsed="false">
      <c r="A5" s="0" t="s">
        <v>247</v>
      </c>
      <c r="B5" s="0" t="s">
        <v>248</v>
      </c>
      <c r="C5" s="7" t="n">
        <v>0.15</v>
      </c>
      <c r="D5" s="10" t="n">
        <f aca="false">IFERROR(MAX(Positions!L3:L102),0)</f>
        <v>0.021</v>
      </c>
      <c r="E5" s="10" t="str">
        <f aca="false">IF(D5&gt;C5,"⚠ YES","NO")</f>
        <v>NO</v>
      </c>
      <c r="F5" s="12" t="s">
        <v>249</v>
      </c>
    </row>
    <row r="6" customFormat="false" ht="15" hidden="false" customHeight="false" outlineLevel="0" collapsed="false">
      <c r="A6" s="0" t="s">
        <v>250</v>
      </c>
      <c r="B6" s="0" t="s">
        <v>251</v>
      </c>
      <c r="C6" s="7" t="n">
        <v>0.3</v>
      </c>
      <c r="D6" s="10" t="n">
        <f aca="false">IFERROR(MAX(Correlations!E4:E13),0)</f>
        <v>0.021</v>
      </c>
      <c r="E6" s="10" t="str">
        <f aca="false">IF(D6&gt;C6,"⚠ YES","NO")</f>
        <v>NO</v>
      </c>
      <c r="F6" s="12" t="s">
        <v>252</v>
      </c>
    </row>
    <row r="7" customFormat="false" ht="15" hidden="false" customHeight="false" outlineLevel="0" collapsed="false">
      <c r="A7" s="0" t="s">
        <v>253</v>
      </c>
      <c r="B7" s="0" t="s">
        <v>254</v>
      </c>
      <c r="C7" s="7" t="n">
        <v>0.5</v>
      </c>
      <c r="D7" s="10" t="n">
        <f aca="false">IFERROR(minifs(Positions!F3:F102,Positions!E3:E102,"&gt;0")/minifs(Positions!E3:E102,Positions!E3:E102,"&gt;0"),1)</f>
        <v>1</v>
      </c>
      <c r="E7" s="10" t="str">
        <f aca="false">IF(D7&gt;C7,"⚠ YES","NO")</f>
        <v>⚠ YES</v>
      </c>
      <c r="F7" s="12" t="s">
        <v>255</v>
      </c>
    </row>
    <row r="8" customFormat="false" ht="15" hidden="false" customHeight="false" outlineLevel="0" collapsed="false">
      <c r="A8" s="0" t="s">
        <v>256</v>
      </c>
      <c r="B8" s="0" t="s">
        <v>257</v>
      </c>
      <c r="C8" s="7" t="n">
        <v>7</v>
      </c>
      <c r="D8" s="10" t="n">
        <f aca="true">IFERROR(MIN(Positions!I3:I102)-TODAY(),999)</f>
        <v>1013</v>
      </c>
      <c r="E8" s="10" t="str">
        <f aca="false">IF(D8&gt;C8,"⚠ YES","NO")</f>
        <v>⚠ YES</v>
      </c>
      <c r="F8" s="12" t="s">
        <v>258</v>
      </c>
    </row>
    <row r="9" customFormat="false" ht="15" hidden="false" customHeight="false" outlineLevel="0" collapsed="false">
      <c r="A9" s="0" t="s">
        <v>259</v>
      </c>
      <c r="B9" s="0" t="s">
        <v>260</v>
      </c>
      <c r="C9" s="7" t="n">
        <v>0.1</v>
      </c>
      <c r="D9" s="10" t="n">
        <f aca="false">Dashboard!B11</f>
        <v>0.00497512437810945</v>
      </c>
      <c r="E9" s="10" t="str">
        <f aca="false">IF(D9&gt;C9,"⚠ YES","NO")</f>
        <v>NO</v>
      </c>
      <c r="F9" s="12" t="s">
        <v>261</v>
      </c>
    </row>
    <row r="10" customFormat="false" ht="15" hidden="false" customHeight="false" outlineLevel="0" collapsed="false">
      <c r="A10" s="0" t="s">
        <v>262</v>
      </c>
      <c r="B10" s="0" t="s">
        <v>263</v>
      </c>
      <c r="C10" s="7" t="n">
        <v>0.05</v>
      </c>
      <c r="D10" s="10" t="n">
        <f aca="false">IFERROR(Dashboard!B7/Dashboard!B5,1)</f>
        <v>0.979</v>
      </c>
      <c r="E10" s="10" t="str">
        <f aca="false">IF(D10&gt;C10,"⚠ YES","NO")</f>
        <v>⚠ YES</v>
      </c>
      <c r="F10" s="12" t="s">
        <v>264</v>
      </c>
    </row>
    <row r="11" customFormat="false" ht="15" hidden="false" customHeight="false" outlineLevel="0" collapsed="false">
      <c r="A11" s="0" t="s">
        <v>265</v>
      </c>
      <c r="B11" s="0" t="s">
        <v>266</v>
      </c>
      <c r="C11" s="10"/>
      <c r="D11" s="10"/>
      <c r="E11" s="7" t="s">
        <v>267</v>
      </c>
      <c r="F11" s="12" t="s">
        <v>268</v>
      </c>
    </row>
    <row r="14" customFormat="false" ht="15" hidden="false" customHeight="false" outlineLevel="0" collapsed="false">
      <c r="A14" s="14" t="s">
        <v>269</v>
      </c>
    </row>
    <row r="15" customFormat="false" ht="15" hidden="false" customHeight="false" outlineLevel="0" collapsed="false">
      <c r="A15" s="3" t="s">
        <v>270</v>
      </c>
      <c r="B15" s="3" t="s">
        <v>271</v>
      </c>
      <c r="C15" s="3" t="s">
        <v>272</v>
      </c>
      <c r="D15" s="3" t="s">
        <v>273</v>
      </c>
      <c r="E15" s="3" t="s">
        <v>274</v>
      </c>
    </row>
    <row r="16" customFormat="false" ht="15" hidden="false" customHeight="false" outlineLevel="0" collapsed="false">
      <c r="A16" s="0" t="s">
        <v>275</v>
      </c>
      <c r="B16" s="0" t="s">
        <v>276</v>
      </c>
      <c r="C16" s="9" t="n">
        <v>45677</v>
      </c>
      <c r="D16" s="16" t="n">
        <f aca="false">C16+1</f>
        <v>45678</v>
      </c>
      <c r="E16" s="10" t="str">
        <f aca="true">IF(D16&lt;=TODAY(),"⚠ DUE","")</f>
        <v>⚠ DUE</v>
      </c>
    </row>
    <row r="17" customFormat="false" ht="15" hidden="false" customHeight="false" outlineLevel="0" collapsed="false">
      <c r="A17" s="0" t="s">
        <v>277</v>
      </c>
      <c r="B17" s="0" t="s">
        <v>278</v>
      </c>
      <c r="C17" s="9" t="n">
        <v>45672</v>
      </c>
      <c r="D17" s="16" t="n">
        <f aca="false">C17+7</f>
        <v>45679</v>
      </c>
      <c r="E17" s="10" t="str">
        <f aca="true">IF(D17&lt;=TODAY(),"⚠ DUE","")</f>
        <v>⚠ DUE</v>
      </c>
    </row>
    <row r="18" customFormat="false" ht="15" hidden="false" customHeight="false" outlineLevel="0" collapsed="false">
      <c r="A18" s="0" t="s">
        <v>279</v>
      </c>
      <c r="B18" s="0" t="s">
        <v>280</v>
      </c>
      <c r="C18" s="9" t="n">
        <v>45658</v>
      </c>
      <c r="D18" s="10" t="n">
        <f aca="false">EOMONTH(C18,0)+1</f>
        <v>45689</v>
      </c>
      <c r="E18" s="10" t="str">
        <f aca="true">IF(D18&lt;=TODAY(),"⚠ DUE","")</f>
        <v>⚠ DUE</v>
      </c>
    </row>
    <row r="19" customFormat="false" ht="15" hidden="false" customHeight="false" outlineLevel="0" collapsed="false">
      <c r="A19" s="0" t="s">
        <v>281</v>
      </c>
      <c r="B19" s="0" t="s">
        <v>282</v>
      </c>
      <c r="C19" s="9" t="n">
        <v>45566</v>
      </c>
      <c r="D19" s="10" t="n">
        <f aca="false">EOMONTH(C19,2)+1</f>
        <v>45658</v>
      </c>
      <c r="E19" s="10" t="str">
        <f aca="true">IF(D19&lt;=TODAY(),"⚠ DUE","")</f>
        <v>⚠ DUE</v>
      </c>
    </row>
    <row r="22" customFormat="false" ht="15" hidden="false" customHeight="false" outlineLevel="0" collapsed="false">
      <c r="A22" s="14" t="s">
        <v>283</v>
      </c>
    </row>
    <row r="23" customFormat="false" ht="15" hidden="false" customHeight="false" outlineLevel="0" collapsed="false">
      <c r="A23" s="3" t="s">
        <v>284</v>
      </c>
      <c r="B23" s="3" t="s">
        <v>244</v>
      </c>
      <c r="C23" s="3" t="s">
        <v>285</v>
      </c>
      <c r="D23" s="3" t="s">
        <v>286</v>
      </c>
      <c r="E23" s="3" t="s">
        <v>287</v>
      </c>
      <c r="F23" s="3" t="s">
        <v>288</v>
      </c>
      <c r="G23" s="3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5"/>
    <col collapsed="false" customWidth="true" hidden="false" outlineLevel="0" max="13" min="3" style="0" width="14"/>
    <col collapsed="false" customWidth="true" hidden="false" outlineLevel="0" max="14" min="14" style="0" width="25"/>
  </cols>
  <sheetData>
    <row r="1" customFormat="false" ht="17.35" hidden="false" customHeight="false" outlineLevel="0" collapsed="false">
      <c r="A1" s="8" t="s">
        <v>289</v>
      </c>
    </row>
    <row r="2" customFormat="false" ht="15" hidden="false" customHeight="false" outlineLevel="0" collapsed="false">
      <c r="G2" s="0" t="n">
        <f aca="false">B6+B8</f>
        <v>10050</v>
      </c>
      <c r="J2" s="0" t="n">
        <f aca="false">IF(COUNTIF(H16:H1000,"Win")+COUNTIF(H16:H1000,"Loss")&gt;0,COUNTIF(H16:H1000,"Win")/(COUNTIF(H16:H1000,"Win")+COUNTIF(H16:H1000,"Loss")),0)</f>
        <v>1</v>
      </c>
      <c r="K2" s="0" t="n">
        <f aca="false">IF(COUNT(J16:J1000)&gt;0,AVERAGE(J16:J1000),0)</f>
        <v>0.15</v>
      </c>
      <c r="L2" s="0" t="n">
        <f aca="false">IF(COUNT(K16:K1000)&gt;0,AVERAGE(K16:K1000),0)</f>
        <v>0.16</v>
      </c>
    </row>
    <row r="3" customFormat="false" ht="15" hidden="false" customHeight="false" outlineLevel="0" collapsed="false">
      <c r="A3" s="14" t="s">
        <v>290</v>
      </c>
      <c r="D3" s="14" t="s">
        <v>291</v>
      </c>
    </row>
    <row r="4" customFormat="false" ht="15" hidden="false" customHeight="false" outlineLevel="0" collapsed="false">
      <c r="A4" s="3" t="s">
        <v>2</v>
      </c>
      <c r="B4" s="3" t="s">
        <v>3</v>
      </c>
      <c r="C4" s="3"/>
      <c r="D4" s="3" t="s">
        <v>44</v>
      </c>
      <c r="E4" s="3" t="s">
        <v>292</v>
      </c>
      <c r="F4" s="3" t="s">
        <v>293</v>
      </c>
      <c r="G4" s="3" t="s">
        <v>294</v>
      </c>
      <c r="H4" s="3" t="s">
        <v>295</v>
      </c>
    </row>
    <row r="5" customFormat="false" ht="15" hidden="false" customHeight="false" outlineLevel="0" collapsed="false">
      <c r="A5" s="0" t="s">
        <v>296</v>
      </c>
      <c r="B5" s="10" t="n">
        <f aca="false">COUNTA(A16:A1000)</f>
        <v>1</v>
      </c>
      <c r="D5" s="12" t="s">
        <v>50</v>
      </c>
      <c r="E5" s="10" t="n">
        <f aca="false">COUNTIF(G16:G1000,D5)</f>
        <v>1</v>
      </c>
      <c r="F5" s="10" t="n">
        <f aca="false">SUMIF(G16:G1000,D5,I16:I1000)</f>
        <v>50</v>
      </c>
      <c r="G5" s="10" t="n">
        <f aca="false">IFERROR(COUNTIFS(G16:G1000,D5,H16:H1000,"Win")/(COUNTIFS(G16:G1000,D5,H16:H1000,"Win")+COUNTIFS(G16:G1000,D5,H16:H1000,"Loss")),0)</f>
        <v>1</v>
      </c>
      <c r="H5" s="10" t="n">
        <f aca="false">IFERROR(AVERAGEIF(G16:G1000,D5,K16:K1000),0)</f>
        <v>0.16</v>
      </c>
    </row>
    <row r="6" customFormat="false" ht="15" hidden="false" customHeight="false" outlineLevel="0" collapsed="false">
      <c r="A6" s="0" t="s">
        <v>297</v>
      </c>
      <c r="B6" s="7" t="n">
        <v>10000</v>
      </c>
      <c r="D6" s="12" t="s">
        <v>116</v>
      </c>
      <c r="E6" s="10" t="n">
        <f aca="false">COUNTIF(G16:G1000,D6)</f>
        <v>0</v>
      </c>
      <c r="F6" s="10" t="n">
        <f aca="false">SUMIF(G16:G1000,D6,I16:I1000)</f>
        <v>0</v>
      </c>
      <c r="G6" s="10" t="n">
        <f aca="false">IFERROR(COUNTIFS(G16:G1000,D6,H16:H1000,"Win")/(COUNTIFS(G16:G1000,D6,H16:H1000,"Win")+COUNTIFS(G16:G1000,D6,H16:H1000,"Loss")),0)</f>
        <v>0</v>
      </c>
      <c r="H6" s="10" t="n">
        <f aca="false">IFERROR(AVERAGEIF(G16:G1000,D6,K16:K1000),0)</f>
        <v>0</v>
      </c>
    </row>
    <row r="7" customFormat="false" ht="15" hidden="false" customHeight="false" outlineLevel="0" collapsed="false">
      <c r="A7" s="0" t="s">
        <v>298</v>
      </c>
      <c r="B7" s="10" t="n">
        <f aca="false">G2</f>
        <v>10050</v>
      </c>
      <c r="D7" s="12" t="s">
        <v>118</v>
      </c>
      <c r="E7" s="10" t="n">
        <f aca="false">COUNTIF(G16:G1000,D7)</f>
        <v>0</v>
      </c>
      <c r="F7" s="10" t="n">
        <f aca="false">SUMIF(G16:G1000,D7,I16:I1000)</f>
        <v>0</v>
      </c>
      <c r="G7" s="10" t="n">
        <f aca="false">IFERROR(COUNTIFS(G16:G1000,D7,H16:H1000,"Win")/(COUNTIFS(G16:G1000,D7,H16:H1000,"Win")+COUNTIFS(G16:G1000,D7,H16:H1000,"Loss")),0)</f>
        <v>0</v>
      </c>
      <c r="H7" s="10" t="n">
        <f aca="false">IFERROR(AVERAGEIF(G16:G1000,D7,K16:K1000),0)</f>
        <v>0</v>
      </c>
    </row>
    <row r="8" customFormat="false" ht="15" hidden="false" customHeight="false" outlineLevel="0" collapsed="false">
      <c r="A8" s="0" t="s">
        <v>299</v>
      </c>
      <c r="B8" s="10" t="n">
        <f aca="false">SUM(I16:I1000)</f>
        <v>50</v>
      </c>
      <c r="D8" s="12" t="s">
        <v>120</v>
      </c>
      <c r="E8" s="10" t="n">
        <f aca="false">COUNTIF(G16:G1000,D8)</f>
        <v>0</v>
      </c>
      <c r="F8" s="10" t="n">
        <f aca="false">SUMIF(G16:G1000,D8,I16:I1000)</f>
        <v>0</v>
      </c>
      <c r="G8" s="10" t="n">
        <f aca="false">IFERROR(COUNTIFS(G16:G1000,D8,H16:H1000,"Win")/(COUNTIFS(G16:G1000,D8,H16:H1000,"Win")+COUNTIFS(G16:G1000,D8,H16:H1000,"Loss")),0)</f>
        <v>0</v>
      </c>
      <c r="H8" s="10" t="n">
        <f aca="false">IFERROR(AVERAGEIF(G16:G1000,D8,K16:K1000),0)</f>
        <v>0</v>
      </c>
    </row>
    <row r="9" customFormat="false" ht="15" hidden="false" customHeight="false" outlineLevel="0" collapsed="false">
      <c r="A9" s="0" t="s">
        <v>300</v>
      </c>
      <c r="B9" s="10" t="n">
        <f aca="false">IF(B6&gt;0,B8/B6,0)</f>
        <v>0.005</v>
      </c>
      <c r="D9" s="12" t="s">
        <v>122</v>
      </c>
      <c r="E9" s="10" t="n">
        <f aca="false">COUNTIF(G16:G1000,D9)</f>
        <v>0</v>
      </c>
      <c r="F9" s="10" t="n">
        <f aca="false">SUMIF(G16:G1000,D9,I16:I1000)</f>
        <v>0</v>
      </c>
      <c r="G9" s="10" t="n">
        <f aca="false">IFERROR(COUNTIFS(G16:G1000,D9,H16:H1000,"Win")/(COUNTIFS(G16:G1000,D9,H16:H1000,"Win")+COUNTIFS(G16:G1000,D9,H16:H1000,"Loss")),0)</f>
        <v>0</v>
      </c>
      <c r="H9" s="10" t="n">
        <f aca="false">IFERROR(AVERAGEIF(G16:G1000,D9,K16:K1000),0)</f>
        <v>0</v>
      </c>
    </row>
    <row r="10" customFormat="false" ht="15" hidden="false" customHeight="false" outlineLevel="0" collapsed="false">
      <c r="A10" s="0" t="s">
        <v>294</v>
      </c>
      <c r="B10" s="10" t="n">
        <f aca="false">J2</f>
        <v>1</v>
      </c>
      <c r="D10" s="12" t="s">
        <v>124</v>
      </c>
      <c r="E10" s="10" t="n">
        <f aca="false">COUNTIF(G16:G1000,D10)</f>
        <v>0</v>
      </c>
      <c r="F10" s="10" t="n">
        <f aca="false">SUMIF(G16:G1000,D10,I16:I1000)</f>
        <v>0</v>
      </c>
      <c r="G10" s="10" t="n">
        <f aca="false">IFERROR(COUNTIFS(G16:G1000,D10,H16:H1000,"Win")/(COUNTIFS(G16:G1000,D10,H16:H1000,"Win")+COUNTIFS(G16:G1000,D10,H16:H1000,"Loss")),0)</f>
        <v>0</v>
      </c>
      <c r="H10" s="10" t="n">
        <f aca="false">IFERROR(AVERAGEIF(G16:G1000,D10,K16:K1000),0)</f>
        <v>0</v>
      </c>
    </row>
    <row r="11" customFormat="false" ht="15" hidden="false" customHeight="false" outlineLevel="0" collapsed="false">
      <c r="A11" s="0" t="s">
        <v>14</v>
      </c>
      <c r="B11" s="10" t="n">
        <f aca="false">K2</f>
        <v>0.15</v>
      </c>
      <c r="D11" s="12" t="s">
        <v>132</v>
      </c>
      <c r="E11" s="10" t="n">
        <f aca="false">COUNTIF(G16:G1000,D11)</f>
        <v>0</v>
      </c>
      <c r="F11" s="10" t="n">
        <f aca="false">SUMIF(G16:G1000,D11,I16:I1000)</f>
        <v>0</v>
      </c>
      <c r="G11" s="10" t="n">
        <f aca="false">IFERROR(COUNTIFS(G16:G1000,D11,H16:H1000,"Win")/(COUNTIFS(G16:G1000,D11,H16:H1000,"Win")+COUNTIFS(G16:G1000,D11,H16:H1000,"Loss")),0)</f>
        <v>0</v>
      </c>
      <c r="H11" s="10" t="n">
        <f aca="false">IFERROR(AVERAGEIF(G16:G1000,D11,K16:K1000),0)</f>
        <v>0</v>
      </c>
    </row>
    <row r="12" customFormat="false" ht="15" hidden="false" customHeight="false" outlineLevel="0" collapsed="false">
      <c r="A12" s="0" t="s">
        <v>15</v>
      </c>
      <c r="B12" s="10" t="n">
        <f aca="false">L2</f>
        <v>0.16</v>
      </c>
    </row>
    <row r="14" customFormat="false" ht="15" hidden="false" customHeight="false" outlineLevel="0" collapsed="false">
      <c r="A14" s="14" t="s">
        <v>301</v>
      </c>
    </row>
    <row r="15" customFormat="false" ht="28.35" hidden="false" customHeight="false" outlineLevel="0" collapsed="false">
      <c r="A15" s="3" t="s">
        <v>302</v>
      </c>
      <c r="B15" s="3" t="s">
        <v>100</v>
      </c>
      <c r="C15" s="3" t="s">
        <v>32</v>
      </c>
      <c r="D15" s="3" t="s">
        <v>33</v>
      </c>
      <c r="E15" s="3" t="s">
        <v>303</v>
      </c>
      <c r="F15" s="3" t="s">
        <v>36</v>
      </c>
      <c r="G15" s="3" t="s">
        <v>44</v>
      </c>
      <c r="H15" s="3" t="s">
        <v>304</v>
      </c>
      <c r="I15" s="3" t="s">
        <v>305</v>
      </c>
      <c r="J15" s="3" t="s">
        <v>306</v>
      </c>
      <c r="K15" s="3" t="s">
        <v>307</v>
      </c>
      <c r="L15" s="3" t="s">
        <v>308</v>
      </c>
      <c r="M15" s="3" t="s">
        <v>309</v>
      </c>
      <c r="N15" s="3" t="s">
        <v>46</v>
      </c>
    </row>
    <row r="16" customFormat="false" ht="15" hidden="false" customHeight="false" outlineLevel="0" collapsed="false">
      <c r="A16" s="7" t="n">
        <v>1</v>
      </c>
      <c r="B16" s="7" t="s">
        <v>310</v>
      </c>
      <c r="C16" s="7" t="s">
        <v>49</v>
      </c>
      <c r="D16" s="9" t="n">
        <v>45658</v>
      </c>
      <c r="E16" s="9" t="n">
        <v>45672</v>
      </c>
      <c r="F16" s="7" t="n">
        <v>0.45</v>
      </c>
      <c r="G16" s="7" t="s">
        <v>50</v>
      </c>
      <c r="H16" s="7" t="s">
        <v>311</v>
      </c>
      <c r="I16" s="7" t="n">
        <v>50</v>
      </c>
      <c r="J16" s="10" t="n">
        <f aca="false">IF(H16="Win",L16-F16,F16-L16)</f>
        <v>0.15</v>
      </c>
      <c r="K16" s="10" t="n">
        <f aca="false">(L16-M16)^2</f>
        <v>0.16</v>
      </c>
      <c r="L16" s="7" t="n">
        <v>0.6</v>
      </c>
      <c r="M16" s="7" t="n">
        <v>1</v>
      </c>
      <c r="N16" s="7"/>
    </row>
  </sheetData>
  <dataValidations count="3">
    <dataValidation allowBlank="false" errorStyle="stop" operator="between" showDropDown="false" showErrorMessage="false" showInputMessage="false" sqref="H16:H1000" type="list">
      <formula1>"Win,Loss,Push"</formula1>
      <formula2>0</formula2>
    </dataValidation>
    <dataValidation allowBlank="false" errorStyle="stop" operator="between" showDropDown="false" showErrorMessage="false" showInputMessage="false" sqref="C16:C1000" type="list">
      <formula1>"YES,NO"</formula1>
      <formula2>0</formula2>
    </dataValidation>
    <dataValidation allowBlank="false" errorStyle="stop" operator="between" showDropDown="false" showErrorMessage="false" showInputMessage="false" sqref="G16:G1000" type="list">
      <formula1>"US Politics,Crypto,Fed/Macro,Tech,Sports,Entertainment,International,Legal/Court,Science,Other"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9.7" hidden="false" customHeight="false" outlineLevel="0" collapsed="false">
      <c r="A1" s="17" t="s">
        <v>312</v>
      </c>
    </row>
    <row r="3" customFormat="false" ht="15" hidden="false" customHeight="false" outlineLevel="0" collapsed="false">
      <c r="A3" s="0" t="s">
        <v>313</v>
      </c>
    </row>
    <row r="5" customFormat="false" ht="15" hidden="false" customHeight="false" outlineLevel="0" collapsed="false">
      <c r="A5" s="0" t="s">
        <v>314</v>
      </c>
    </row>
    <row r="6" customFormat="false" ht="15" hidden="false" customHeight="false" outlineLevel="0" collapsed="false">
      <c r="A6" s="0" t="s">
        <v>315</v>
      </c>
    </row>
    <row r="7" customFormat="false" ht="15" hidden="false" customHeight="false" outlineLevel="0" collapsed="false">
      <c r="A7" s="0" t="s">
        <v>316</v>
      </c>
    </row>
    <row r="8" customFormat="false" ht="15" hidden="false" customHeight="false" outlineLevel="0" collapsed="false">
      <c r="A8" s="0" t="s">
        <v>317</v>
      </c>
    </row>
    <row r="10" customFormat="false" ht="15" hidden="false" customHeight="false" outlineLevel="0" collapsed="false">
      <c r="A10" s="0" t="s">
        <v>318</v>
      </c>
    </row>
    <row r="11" customFormat="false" ht="15" hidden="false" customHeight="false" outlineLevel="0" collapsed="false">
      <c r="A11" s="0" t="s">
        <v>319</v>
      </c>
    </row>
    <row r="12" customFormat="false" ht="15" hidden="false" customHeight="false" outlineLevel="0" collapsed="false">
      <c r="A12" s="0" t="s">
        <v>320</v>
      </c>
    </row>
    <row r="13" customFormat="false" ht="15" hidden="false" customHeight="false" outlineLevel="0" collapsed="false">
      <c r="A13" s="0" t="s">
        <v>321</v>
      </c>
    </row>
    <row r="14" customFormat="false" ht="15" hidden="false" customHeight="false" outlineLevel="0" collapsed="false">
      <c r="A14" s="0" t="s">
        <v>322</v>
      </c>
    </row>
    <row r="16" customFormat="false" ht="15" hidden="false" customHeight="false" outlineLevel="0" collapsed="false">
      <c r="A16" s="0" t="s">
        <v>323</v>
      </c>
    </row>
    <row r="17" customFormat="false" ht="15" hidden="false" customHeight="false" outlineLevel="0" collapsed="false">
      <c r="A17" s="0" t="s">
        <v>324</v>
      </c>
    </row>
    <row r="18" customFormat="false" ht="15" hidden="false" customHeight="false" outlineLevel="0" collapsed="false">
      <c r="A18" s="0" t="s">
        <v>325</v>
      </c>
    </row>
    <row r="19" customFormat="false" ht="15" hidden="false" customHeight="false" outlineLevel="0" collapsed="false">
      <c r="A19" s="0" t="s">
        <v>326</v>
      </c>
    </row>
    <row r="20" customFormat="false" ht="15" hidden="false" customHeight="false" outlineLevel="0" collapsed="false">
      <c r="A20" s="0" t="s">
        <v>327</v>
      </c>
    </row>
    <row r="22" customFormat="false" ht="15" hidden="false" customHeight="false" outlineLevel="0" collapsed="false">
      <c r="A22" s="0" t="s">
        <v>328</v>
      </c>
    </row>
    <row r="23" customFormat="false" ht="15" hidden="false" customHeight="false" outlineLevel="0" collapsed="false">
      <c r="A23" s="0" t="s">
        <v>329</v>
      </c>
    </row>
    <row r="24" customFormat="false" ht="15" hidden="false" customHeight="false" outlineLevel="0" collapsed="false">
      <c r="A24" s="0" t="s">
        <v>330</v>
      </c>
    </row>
    <row r="25" customFormat="false" ht="15" hidden="false" customHeight="false" outlineLevel="0" collapsed="false">
      <c r="A25" s="0" t="s">
        <v>331</v>
      </c>
    </row>
    <row r="26" customFormat="false" ht="15" hidden="false" customHeight="false" outlineLevel="0" collapsed="false">
      <c r="A26" s="0" t="s">
        <v>332</v>
      </c>
    </row>
    <row r="28" customFormat="false" ht="15" hidden="false" customHeight="false" outlineLevel="0" collapsed="false">
      <c r="A28" s="0" t="s">
        <v>333</v>
      </c>
    </row>
    <row r="29" customFormat="false" ht="15" hidden="false" customHeight="false" outlineLevel="0" collapsed="false">
      <c r="A29" s="0" t="s">
        <v>334</v>
      </c>
    </row>
    <row r="30" customFormat="false" ht="15" hidden="false" customHeight="false" outlineLevel="0" collapsed="false">
      <c r="A30" s="0" t="s">
        <v>335</v>
      </c>
    </row>
    <row r="31" customFormat="false" ht="15" hidden="false" customHeight="false" outlineLevel="0" collapsed="false">
      <c r="A31" s="0" t="s">
        <v>336</v>
      </c>
    </row>
    <row r="32" customFormat="false" ht="15" hidden="false" customHeight="false" outlineLevel="0" collapsed="false">
      <c r="A32" s="0" t="s">
        <v>337</v>
      </c>
    </row>
    <row r="34" customFormat="false" ht="15" hidden="false" customHeight="false" outlineLevel="0" collapsed="false">
      <c r="A34" s="0" t="s">
        <v>338</v>
      </c>
    </row>
    <row r="35" customFormat="false" ht="15" hidden="false" customHeight="false" outlineLevel="0" collapsed="false">
      <c r="A35" s="0" t="s">
        <v>339</v>
      </c>
    </row>
    <row r="36" customFormat="false" ht="15" hidden="false" customHeight="false" outlineLevel="0" collapsed="false">
      <c r="A36" s="0" t="s">
        <v>340</v>
      </c>
    </row>
    <row r="37" customFormat="false" ht="15" hidden="false" customHeight="false" outlineLevel="0" collapsed="false">
      <c r="A37" s="0" t="s">
        <v>341</v>
      </c>
    </row>
    <row r="38" customFormat="false" ht="15" hidden="false" customHeight="false" outlineLevel="0" collapsed="false">
      <c r="A38" s="0" t="s">
        <v>342</v>
      </c>
    </row>
    <row r="40" customFormat="false" ht="15" hidden="false" customHeight="false" outlineLevel="0" collapsed="false">
      <c r="A40" s="0" t="s">
        <v>343</v>
      </c>
    </row>
    <row r="41" customFormat="false" ht="15" hidden="false" customHeight="false" outlineLevel="0" collapsed="false">
      <c r="A41" s="0" t="s">
        <v>344</v>
      </c>
    </row>
    <row r="42" customFormat="false" ht="15" hidden="false" customHeight="false" outlineLevel="0" collapsed="false">
      <c r="A42" s="0" t="s">
        <v>345</v>
      </c>
    </row>
    <row r="43" customFormat="false" ht="15" hidden="false" customHeight="false" outlineLevel="0" collapsed="false">
      <c r="A43" s="0" t="s">
        <v>346</v>
      </c>
    </row>
    <row r="44" customFormat="false" ht="15" hidden="false" customHeight="false" outlineLevel="0" collapsed="false">
      <c r="A44" s="0" t="s">
        <v>347</v>
      </c>
    </row>
    <row r="46" customFormat="false" ht="15" hidden="false" customHeight="false" outlineLevel="0" collapsed="false">
      <c r="A46" s="0" t="s">
        <v>348</v>
      </c>
    </row>
    <row r="47" customFormat="false" ht="15" hidden="false" customHeight="false" outlineLevel="0" collapsed="false">
      <c r="A47" s="0" t="s">
        <v>349</v>
      </c>
    </row>
    <row r="48" customFormat="false" ht="15" hidden="false" customHeight="false" outlineLevel="0" collapsed="false">
      <c r="A48" s="0" t="s">
        <v>350</v>
      </c>
    </row>
    <row r="49" customFormat="false" ht="15" hidden="false" customHeight="false" outlineLevel="0" collapsed="false">
      <c r="A49" s="0" t="s">
        <v>351</v>
      </c>
    </row>
    <row r="50" customFormat="false" ht="15" hidden="false" customHeight="false" outlineLevel="0" collapsed="false">
      <c r="A50" s="0" t="s">
        <v>352</v>
      </c>
    </row>
    <row r="52" customFormat="false" ht="15" hidden="false" customHeight="false" outlineLevel="0" collapsed="false">
      <c r="A52" s="0" t="s">
        <v>353</v>
      </c>
    </row>
    <row r="53" customFormat="false" ht="15" hidden="false" customHeight="false" outlineLevel="0" collapsed="false">
      <c r="A53" s="0" t="s">
        <v>354</v>
      </c>
    </row>
    <row r="54" customFormat="false" ht="15" hidden="false" customHeight="false" outlineLevel="0" collapsed="false">
      <c r="A54" s="0" t="s">
        <v>355</v>
      </c>
    </row>
    <row r="55" customFormat="false" ht="15" hidden="false" customHeight="false" outlineLevel="0" collapsed="false">
      <c r="A55" s="0" t="s">
        <v>356</v>
      </c>
    </row>
    <row r="57" customFormat="false" ht="15" hidden="false" customHeight="false" outlineLevel="0" collapsed="false">
      <c r="A57" s="0" t="s">
        <v>357</v>
      </c>
    </row>
    <row r="58" customFormat="false" ht="15" hidden="false" customHeight="false" outlineLevel="0" collapsed="false">
      <c r="A58" s="0" t="s">
        <v>358</v>
      </c>
    </row>
    <row r="59" customFormat="false" ht="15" hidden="false" customHeight="false" outlineLevel="0" collapsed="false">
      <c r="A59" s="0" t="s">
        <v>359</v>
      </c>
    </row>
    <row r="60" customFormat="false" ht="15" hidden="false" customHeight="false" outlineLevel="0" collapsed="false">
      <c r="A60" s="0" t="s">
        <v>360</v>
      </c>
    </row>
    <row r="61" customFormat="false" ht="15" hidden="false" customHeight="false" outlineLevel="0" collapsed="false">
      <c r="A61" s="0" t="s">
        <v>361</v>
      </c>
    </row>
    <row r="63" customFormat="false" ht="15" hidden="false" customHeight="false" outlineLevel="0" collapsed="false">
      <c r="A63" s="0" t="s">
        <v>362</v>
      </c>
    </row>
    <row r="64" customFormat="false" ht="15" hidden="false" customHeight="false" outlineLevel="0" collapsed="false">
      <c r="A64" s="0" t="s">
        <v>363</v>
      </c>
    </row>
    <row r="65" customFormat="false" ht="15" hidden="false" customHeight="false" outlineLevel="0" collapsed="false">
      <c r="A65" s="0" t="s">
        <v>364</v>
      </c>
    </row>
    <row r="66" customFormat="false" ht="15" hidden="false" customHeight="false" outlineLevel="0" collapsed="false">
      <c r="A66" s="0" t="s">
        <v>365</v>
      </c>
    </row>
    <row r="67" customFormat="false" ht="15" hidden="false" customHeight="false" outlineLevel="0" collapsed="false">
      <c r="A67" s="0" t="s">
        <v>366</v>
      </c>
    </row>
    <row r="68" customFormat="false" ht="15" hidden="false" customHeight="false" outlineLevel="0" collapsed="false">
      <c r="A68" s="0" t="s">
        <v>367</v>
      </c>
    </row>
    <row r="70" customFormat="false" ht="15" hidden="false" customHeight="false" outlineLevel="0" collapsed="false">
      <c r="A70" s="0" t="s">
        <v>368</v>
      </c>
    </row>
    <row r="71" customFormat="false" ht="15" hidden="false" customHeight="false" outlineLevel="0" collapsed="false">
      <c r="A71" s="0" t="s">
        <v>369</v>
      </c>
    </row>
    <row r="72" customFormat="false" ht="15" hidden="false" customHeight="false" outlineLevel="0" collapsed="false">
      <c r="A72" s="0" t="s">
        <v>370</v>
      </c>
    </row>
    <row r="73" customFormat="false" ht="15" hidden="false" customHeight="false" outlineLevel="0" collapsed="false">
      <c r="A73" s="0" t="s">
        <v>371</v>
      </c>
    </row>
    <row r="74" customFormat="false" ht="15" hidden="false" customHeight="false" outlineLevel="0" collapsed="false">
      <c r="A74" s="0" t="s">
        <v>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2026-01-27T11:16:28Z</dcterms:created>
  <dc:creator>openpyxl</dc:creator>
  <dc:description/>
  <dc:language>en-US</dc:language>
  <cp:lastModifiedBy/>
  <dcterms:modified xsi:type="dcterms:W3CDTF">2026-01-27T11:16:28Z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